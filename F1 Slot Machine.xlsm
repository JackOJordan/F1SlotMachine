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j.LAPTOP-U1V11TR1\Documents\"/>
    </mc:Choice>
  </mc:AlternateContent>
  <xr:revisionPtr revIDLastSave="0" documentId="13_ncr:1_{420C7E40-29AA-442D-9251-0E0DA22D76C8}" xr6:coauthVersionLast="47" xr6:coauthVersionMax="47" xr10:uidLastSave="{00000000-0000-0000-0000-000000000000}"/>
  <bookViews>
    <workbookView xWindow="-108" yWindow="-108" windowWidth="23256" windowHeight="12456" activeTab="1" xr2:uid="{17418040-FC38-4A05-9024-1CE220266966}"/>
  </bookViews>
  <sheets>
    <sheet name="Slot_Machine" sheetId="4" r:id="rId1"/>
    <sheet name="Maths" sheetId="1" r:id="rId2"/>
    <sheet name="Bonus_Game" sheetId="2" r:id="rId3"/>
    <sheet name="Icons" sheetId="3" r:id="rId4"/>
  </sheets>
  <definedNames>
    <definedName name="BonusPayoutTable">Bonus_Game!$E$10:$F$23</definedName>
    <definedName name="Car">Icons!$E$4</definedName>
    <definedName name="Crash">Icons!$E$6</definedName>
    <definedName name="Flag">Icons!$E$5</definedName>
    <definedName name="Helmet">Icons!$E$3</definedName>
    <definedName name="InitialState">Bonus_Game!$Z$7:$AM$7</definedName>
    <definedName name="Picture">INDIRECT(Icons!$P$3)</definedName>
    <definedName name="Picture2">INDIRECT(Icons!$Q$3)</definedName>
    <definedName name="Picture3">INDIRECT(Icons!$R$3)</definedName>
    <definedName name="Reel1">Maths!$B$5:$B$100000</definedName>
    <definedName name="Reel2">Maths!$C$5:$C$100000</definedName>
    <definedName name="Reel3">Maths!$D$5:$D$100000</definedName>
    <definedName name="TransitionMatrix">Bonus_Game!$J$17:$W$30</definedName>
    <definedName name="Tyre">Icons!$E$1</definedName>
    <definedName name="Wheel">Icons!$E$2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Z13" i="2" a="1"/>
  <c r="Z13" i="2" s="1"/>
  <c r="AQ55" i="2"/>
  <c r="AN53" i="2"/>
  <c r="AO53" i="2"/>
  <c r="AP53" i="2"/>
  <c r="AQ53" i="2"/>
  <c r="AQ54" i="2"/>
  <c r="AN56" i="2"/>
  <c r="AO56" i="2"/>
  <c r="AP56" i="2"/>
  <c r="AQ56" i="2"/>
  <c r="AM53" i="2"/>
  <c r="AM54" i="2"/>
  <c r="AM55" i="2"/>
  <c r="AM56" i="2"/>
  <c r="D3" i="1"/>
  <c r="Q20" i="1" s="1" a="1"/>
  <c r="Q20" i="1" s="1"/>
  <c r="K7" i="1"/>
  <c r="K6" i="1"/>
  <c r="K5" i="1"/>
  <c r="K4" i="1"/>
  <c r="K3" i="1"/>
  <c r="C3" i="1"/>
  <c r="P20" i="1" s="1" a="1"/>
  <c r="P20" i="1" s="1"/>
  <c r="B3" i="1"/>
  <c r="O20" i="1" s="1" a="1"/>
  <c r="O20" i="1" s="1"/>
  <c r="D38" i="2"/>
  <c r="C38" i="2"/>
  <c r="C39" i="2" s="1"/>
  <c r="C40" i="2" s="1"/>
  <c r="Z8" i="2" a="1"/>
  <c r="J25" i="2"/>
  <c r="J27" i="2"/>
  <c r="J28" i="2"/>
  <c r="J29" i="2"/>
  <c r="J30" i="2"/>
  <c r="W29" i="2"/>
  <c r="V28" i="2"/>
  <c r="U27" i="2"/>
  <c r="S25" i="2"/>
  <c r="R24" i="2"/>
  <c r="Q23" i="2"/>
  <c r="P22" i="2"/>
  <c r="O21" i="2"/>
  <c r="N20" i="2"/>
  <c r="M19" i="2"/>
  <c r="L18" i="2"/>
  <c r="K17" i="2"/>
  <c r="K12" i="1" l="1"/>
  <c r="K13" i="1"/>
  <c r="K8" i="1"/>
  <c r="K9" i="1"/>
  <c r="K10" i="1"/>
  <c r="K11" i="1"/>
  <c r="D39" i="2"/>
  <c r="Z8" i="2"/>
  <c r="E38" i="2" l="1"/>
  <c r="E39" i="2" s="1"/>
  <c r="D40" i="2"/>
  <c r="K14" i="1"/>
  <c r="Z9" i="2" a="1"/>
  <c r="Q2" i="3"/>
  <c r="Q3" i="3" s="1"/>
  <c r="R2" i="3"/>
  <c r="R3" i="3" s="1"/>
  <c r="P2" i="3"/>
  <c r="E3" i="1"/>
  <c r="P15" i="1" s="1"/>
  <c r="F38" i="2" l="1"/>
  <c r="F39" i="2" s="1"/>
  <c r="F40" i="2" s="1"/>
  <c r="E40" i="2"/>
  <c r="L10" i="1"/>
  <c r="Z9" i="2"/>
  <c r="L11" i="1"/>
  <c r="L12" i="1"/>
  <c r="L8" i="1"/>
  <c r="Q1" i="3"/>
  <c r="P3" i="3"/>
  <c r="P22" i="1"/>
  <c r="P23" i="1" s="1"/>
  <c r="L13" i="1"/>
  <c r="P17" i="1"/>
  <c r="L4" i="1"/>
  <c r="L5" i="1"/>
  <c r="L6" i="1"/>
  <c r="L7" i="1"/>
  <c r="L9" i="1"/>
  <c r="C41" i="2" l="1"/>
  <c r="J17" i="4"/>
  <c r="Z10" i="2" a="1"/>
  <c r="L2" i="3"/>
  <c r="Z10" i="2" l="1"/>
  <c r="Z11" i="2" l="1" a="1"/>
  <c r="AB12" i="2" l="1"/>
  <c r="AB14" i="2" s="1"/>
  <c r="AE12" i="2"/>
  <c r="AE14" i="2" s="1"/>
  <c r="AA12" i="2"/>
  <c r="AA14" i="2" s="1"/>
  <c r="AH12" i="2"/>
  <c r="AH14" i="2" s="1"/>
  <c r="AF12" i="2"/>
  <c r="AF14" i="2" s="1"/>
  <c r="AG12" i="2"/>
  <c r="AG14" i="2" s="1"/>
  <c r="AC12" i="2"/>
  <c r="AC14" i="2" s="1"/>
  <c r="AD12" i="2"/>
  <c r="AD14" i="2" s="1"/>
  <c r="AK12" i="2"/>
  <c r="AK14" i="2" s="1"/>
  <c r="AL12" i="2"/>
  <c r="AL14" i="2" s="1"/>
  <c r="AI12" i="2"/>
  <c r="AI14" i="2" s="1"/>
  <c r="AJ12" i="2"/>
  <c r="AJ14" i="2" s="1"/>
  <c r="AM12" i="2"/>
  <c r="AM14" i="2" s="1"/>
  <c r="Z11" i="2"/>
  <c r="Z12" i="2" s="1"/>
  <c r="Z14" i="2" l="1"/>
  <c r="Z20" i="2" a="1"/>
  <c r="Z20" i="2" s="1"/>
  <c r="L3" i="1" s="1"/>
  <c r="L14" i="1" s="1"/>
  <c r="Z15" i="2"/>
  <c r="AL21" i="2"/>
  <c r="P16" i="1" l="1"/>
  <c r="P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<sst xmlns="http://schemas.openxmlformats.org/spreadsheetml/2006/main" count="57" uniqueCount="53">
  <si>
    <t>Reel 1</t>
  </si>
  <si>
    <t>Reel 2</t>
  </si>
  <si>
    <t>Reel 3</t>
  </si>
  <si>
    <t>COMBINATIONS</t>
  </si>
  <si>
    <t>PAYS</t>
  </si>
  <si>
    <t>1 1 1</t>
  </si>
  <si>
    <t>2 2 2</t>
  </si>
  <si>
    <t>3 3 3</t>
  </si>
  <si>
    <t>4 4 4</t>
  </si>
  <si>
    <t>1 1</t>
  </si>
  <si>
    <t>2 2</t>
  </si>
  <si>
    <t>3 3</t>
  </si>
  <si>
    <t>4 4</t>
  </si>
  <si>
    <t>HITS</t>
  </si>
  <si>
    <t>Payout Percentage</t>
  </si>
  <si>
    <t>Total Payout</t>
  </si>
  <si>
    <t>Total Combos</t>
  </si>
  <si>
    <t>Expected Payout</t>
  </si>
  <si>
    <t>5 5 5</t>
  </si>
  <si>
    <t>5 5</t>
  </si>
  <si>
    <t>Win Every … Games:</t>
  </si>
  <si>
    <t>Spin:</t>
  </si>
  <si>
    <t>Winnings:</t>
  </si>
  <si>
    <t>COMBOS</t>
  </si>
  <si>
    <t>CONTRIBUTION</t>
  </si>
  <si>
    <t>Totals:</t>
  </si>
  <si>
    <t>Car</t>
  </si>
  <si>
    <t>Tyre</t>
  </si>
  <si>
    <t>Wheel</t>
  </si>
  <si>
    <t>Helmet</t>
  </si>
  <si>
    <t>Flag</t>
  </si>
  <si>
    <t>Crash</t>
  </si>
  <si>
    <t>Icons:</t>
  </si>
  <si>
    <t>BONUS!</t>
  </si>
  <si>
    <t>Payout</t>
  </si>
  <si>
    <t>Transition Matrix</t>
  </si>
  <si>
    <t>Initial State</t>
  </si>
  <si>
    <t>Turn 1</t>
  </si>
  <si>
    <t>Turn 2</t>
  </si>
  <si>
    <t>Turn 3</t>
  </si>
  <si>
    <t>Turn 4</t>
  </si>
  <si>
    <t>Tile</t>
  </si>
  <si>
    <t>Next Tile</t>
  </si>
  <si>
    <t>Current Tile</t>
  </si>
  <si>
    <t>Dice Rolls</t>
  </si>
  <si>
    <t>Visited Tiles</t>
  </si>
  <si>
    <t>Payouts</t>
  </si>
  <si>
    <t>Total Bonus Win</t>
  </si>
  <si>
    <t>Victory Lap</t>
  </si>
  <si>
    <t>Sum of Probabilities</t>
  </si>
  <si>
    <t>Tile Payout</t>
  </si>
  <si>
    <t>Tile Contribution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</si>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</sst>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0" fillId="2" borderId="1" xfId="0" applyFill="1" applyBorder="1"/>
    <xf numFmtId="0" fontId="0" fillId="0" borderId="8" xfId="0" applyBorder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0" fontId="0" fillId="2" borderId="9" xfId="0" applyFill="1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10" xfId="0" applyBorder="1"/>
    <xf numFmtId="0" fontId="0" fillId="0" borderId="11" xfId="0" applyBorder="1"/>
    <xf numFmtId="10" fontId="0" fillId="0" borderId="12" xfId="0" applyNumberFormat="1" applyBorder="1"/>
    <xf numFmtId="10" fontId="0" fillId="0" borderId="1" xfId="0" applyNumberFormat="1" applyBorder="1"/>
    <xf numFmtId="0" fontId="0" fillId="0" borderId="1" xfId="0" applyBorder="1" applyAlignment="1">
      <alignment horizontal="left"/>
    </xf>
    <xf numFmtId="10" fontId="0" fillId="0" borderId="9" xfId="0" applyNumberFormat="1" applyBorder="1"/>
    <xf numFmtId="0" fontId="0" fillId="0" borderId="0" xfId="0" applyAlignment="1">
      <alignment horizontal="left"/>
    </xf>
    <xf numFmtId="164" fontId="0" fillId="0" borderId="0" xfId="0" applyNumberFormat="1"/>
    <xf numFmtId="12" fontId="0" fillId="0" borderId="0" xfId="0" applyNumberFormat="1"/>
    <xf numFmtId="0" fontId="5" fillId="0" borderId="0" xfId="0" applyFont="1"/>
    <xf numFmtId="0" fontId="6" fillId="5" borderId="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1">
    <cellStyle name="Normal" xfId="0" builtinId="0"/>
  </cellStyles>
  <dxfs count="6">
    <dxf>
      <numFmt numFmtId="14" formatCode="0.00%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5.png"/><Relationship Id="rId7" Type="http://schemas.openxmlformats.org/officeDocument/2006/relationships/image" Target="../media/image6.emf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7.png"/><Relationship Id="rId5" Type="http://schemas.openxmlformats.org/officeDocument/2006/relationships/image" Target="../media/image12.png"/><Relationship Id="rId4" Type="http://schemas.openxmlformats.org/officeDocument/2006/relationships/image" Target="../media/image16.png"/><Relationship Id="rId9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108034</xdr:colOff>
      <xdr:row>12</xdr:row>
      <xdr:rowOff>169545</xdr:rowOff>
    </xdr:from>
    <xdr:to>
      <xdr:col>2</xdr:col>
      <xdr:colOff>608365</xdr:colOff>
      <xdr:row>14</xdr:row>
      <xdr:rowOff>117742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B0C949-EFD3-43C1-B038-2510186D3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234" y="2855595"/>
          <a:ext cx="500331" cy="424447"/>
        </a:xfrm>
        <a:prstGeom prst="rect">
          <a:avLst/>
        </a:prstGeom>
      </xdr:spPr>
    </xdr:pic>
    <xdr:clientData/>
  </xdr:twoCellAnchor>
  <xdr:twoCellAnchor editAs="absolute">
    <xdr:from>
      <xdr:col>2</xdr:col>
      <xdr:colOff>121920</xdr:colOff>
      <xdr:row>4</xdr:row>
      <xdr:rowOff>133799</xdr:rowOff>
    </xdr:from>
    <xdr:to>
      <xdr:col>3</xdr:col>
      <xdr:colOff>51688</xdr:colOff>
      <xdr:row>6</xdr:row>
      <xdr:rowOff>57151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3615A8-540F-4D79-A8F3-9C1871978C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1341120" y="914849"/>
          <a:ext cx="615568" cy="399602"/>
        </a:xfrm>
        <a:prstGeom prst="rect">
          <a:avLst/>
        </a:prstGeom>
      </xdr:spPr>
    </xdr:pic>
    <xdr:clientData/>
  </xdr:twoCellAnchor>
  <xdr:twoCellAnchor editAs="absolute">
    <xdr:from>
      <xdr:col>2</xdr:col>
      <xdr:colOff>115912</xdr:colOff>
      <xdr:row>8</xdr:row>
      <xdr:rowOff>182526</xdr:rowOff>
    </xdr:from>
    <xdr:to>
      <xdr:col>2</xdr:col>
      <xdr:colOff>619089</xdr:colOff>
      <xdr:row>10</xdr:row>
      <xdr:rowOff>135921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B7E6B7-5123-4A7A-BC2E-7A267D4F4E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99" t="8348" r="14957" b="29998"/>
        <a:stretch/>
      </xdr:blipFill>
      <xdr:spPr>
        <a:xfrm>
          <a:off x="1335112" y="1916076"/>
          <a:ext cx="503177" cy="429645"/>
        </a:xfrm>
        <a:prstGeom prst="rect">
          <a:avLst/>
        </a:prstGeom>
      </xdr:spPr>
    </xdr:pic>
    <xdr:clientData/>
  </xdr:twoCellAnchor>
  <xdr:twoCellAnchor editAs="absolute">
    <xdr:from>
      <xdr:col>2</xdr:col>
      <xdr:colOff>139093</xdr:colOff>
      <xdr:row>6</xdr:row>
      <xdr:rowOff>102433</xdr:rowOff>
    </xdr:from>
    <xdr:to>
      <xdr:col>2</xdr:col>
      <xdr:colOff>661867</xdr:colOff>
      <xdr:row>8</xdr:row>
      <xdr:rowOff>93989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557B72-9923-4832-AF67-235A91F056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1358293" y="1359733"/>
          <a:ext cx="522774" cy="467806"/>
        </a:xfrm>
        <a:prstGeom prst="rect">
          <a:avLst/>
        </a:prstGeom>
      </xdr:spPr>
    </xdr:pic>
    <xdr:clientData/>
  </xdr:twoCellAnchor>
  <xdr:twoCellAnchor editAs="absolute">
    <xdr:from>
      <xdr:col>2</xdr:col>
      <xdr:colOff>76200</xdr:colOff>
      <xdr:row>10</xdr:row>
      <xdr:rowOff>220860</xdr:rowOff>
    </xdr:from>
    <xdr:to>
      <xdr:col>2</xdr:col>
      <xdr:colOff>655509</xdr:colOff>
      <xdr:row>12</xdr:row>
      <xdr:rowOff>101734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8A9FC5A-2F9D-4605-9901-FA1384A0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2430660"/>
          <a:ext cx="579309" cy="357124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</xdr:colOff>
      <xdr:row>4</xdr:row>
      <xdr:rowOff>143324</xdr:rowOff>
    </xdr:from>
    <xdr:to>
      <xdr:col>4</xdr:col>
      <xdr:colOff>623188</xdr:colOff>
      <xdr:row>6</xdr:row>
      <xdr:rowOff>66676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7B64240-E446-4726-8374-D24C47A1C3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2598420" y="924374"/>
          <a:ext cx="615568" cy="399602"/>
        </a:xfrm>
        <a:prstGeom prst="rect">
          <a:avLst/>
        </a:prstGeom>
      </xdr:spPr>
    </xdr:pic>
    <xdr:clientData/>
  </xdr:twoCellAnchor>
  <xdr:twoCellAnchor editAs="absolute">
    <xdr:from>
      <xdr:col>3</xdr:col>
      <xdr:colOff>64770</xdr:colOff>
      <xdr:row>4</xdr:row>
      <xdr:rowOff>143324</xdr:rowOff>
    </xdr:from>
    <xdr:to>
      <xdr:col>3</xdr:col>
      <xdr:colOff>680338</xdr:colOff>
      <xdr:row>6</xdr:row>
      <xdr:rowOff>66676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9D4B10F-D81D-4666-984A-9195C35FF2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1969770" y="924374"/>
          <a:ext cx="615568" cy="399602"/>
        </a:xfrm>
        <a:prstGeom prst="rect">
          <a:avLst/>
        </a:prstGeom>
      </xdr:spPr>
    </xdr:pic>
    <xdr:clientData/>
  </xdr:twoCellAnchor>
  <xdr:twoCellAnchor editAs="absolute">
    <xdr:from>
      <xdr:col>3</xdr:col>
      <xdr:colOff>91468</xdr:colOff>
      <xdr:row>6</xdr:row>
      <xdr:rowOff>131008</xdr:rowOff>
    </xdr:from>
    <xdr:to>
      <xdr:col>3</xdr:col>
      <xdr:colOff>614242</xdr:colOff>
      <xdr:row>8</xdr:row>
      <xdr:rowOff>122564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DE5CC54-F24E-4569-8280-87FA98C7AD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1996468" y="1388308"/>
          <a:ext cx="522774" cy="467806"/>
        </a:xfrm>
        <a:prstGeom prst="rect">
          <a:avLst/>
        </a:prstGeom>
      </xdr:spPr>
    </xdr:pic>
    <xdr:clientData/>
  </xdr:twoCellAnchor>
  <xdr:twoCellAnchor editAs="absolute">
    <xdr:from>
      <xdr:col>4</xdr:col>
      <xdr:colOff>34318</xdr:colOff>
      <xdr:row>6</xdr:row>
      <xdr:rowOff>140533</xdr:rowOff>
    </xdr:from>
    <xdr:to>
      <xdr:col>4</xdr:col>
      <xdr:colOff>557092</xdr:colOff>
      <xdr:row>8</xdr:row>
      <xdr:rowOff>132089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9126092-043E-49E4-9380-94626E4B85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2625118" y="1397833"/>
          <a:ext cx="522774" cy="467806"/>
        </a:xfrm>
        <a:prstGeom prst="rect">
          <a:avLst/>
        </a:prstGeom>
      </xdr:spPr>
    </xdr:pic>
    <xdr:clientData/>
  </xdr:twoCellAnchor>
  <xdr:twoCellAnchor editAs="absolute">
    <xdr:from>
      <xdr:col>3</xdr:col>
      <xdr:colOff>49237</xdr:colOff>
      <xdr:row>8</xdr:row>
      <xdr:rowOff>201576</xdr:rowOff>
    </xdr:from>
    <xdr:to>
      <xdr:col>3</xdr:col>
      <xdr:colOff>552414</xdr:colOff>
      <xdr:row>10</xdr:row>
      <xdr:rowOff>154971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F630AFF-265D-4B3C-8275-D464698CBA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99" t="8348" r="14957" b="29998"/>
        <a:stretch/>
      </xdr:blipFill>
      <xdr:spPr>
        <a:xfrm>
          <a:off x="1954237" y="1935126"/>
          <a:ext cx="503177" cy="429645"/>
        </a:xfrm>
        <a:prstGeom prst="rect">
          <a:avLst/>
        </a:prstGeom>
      </xdr:spPr>
    </xdr:pic>
    <xdr:clientData/>
  </xdr:twoCellAnchor>
  <xdr:twoCellAnchor editAs="absolute">
    <xdr:from>
      <xdr:col>4</xdr:col>
      <xdr:colOff>11137</xdr:colOff>
      <xdr:row>8</xdr:row>
      <xdr:rowOff>201576</xdr:rowOff>
    </xdr:from>
    <xdr:to>
      <xdr:col>4</xdr:col>
      <xdr:colOff>514314</xdr:colOff>
      <xdr:row>10</xdr:row>
      <xdr:rowOff>154971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3966EE9-58A2-4BEE-8564-D8C0902608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99" t="8348" r="14957" b="29998"/>
        <a:stretch/>
      </xdr:blipFill>
      <xdr:spPr>
        <a:xfrm>
          <a:off x="2601937" y="1935126"/>
          <a:ext cx="503177" cy="429645"/>
        </a:xfrm>
        <a:prstGeom prst="rect">
          <a:avLst/>
        </a:prstGeom>
      </xdr:spPr>
    </xdr:pic>
    <xdr:clientData/>
  </xdr:twoCellAnchor>
  <xdr:twoCellAnchor editAs="absolute">
    <xdr:from>
      <xdr:col>3</xdr:col>
      <xdr:colOff>28575</xdr:colOff>
      <xdr:row>10</xdr:row>
      <xdr:rowOff>220860</xdr:rowOff>
    </xdr:from>
    <xdr:to>
      <xdr:col>3</xdr:col>
      <xdr:colOff>607884</xdr:colOff>
      <xdr:row>12</xdr:row>
      <xdr:rowOff>101734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C965405-09B1-4E60-97E3-85DE40F13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2430660"/>
          <a:ext cx="579309" cy="357124"/>
        </a:xfrm>
        <a:prstGeom prst="rect">
          <a:avLst/>
        </a:prstGeom>
      </xdr:spPr>
    </xdr:pic>
    <xdr:clientData/>
  </xdr:twoCellAnchor>
  <xdr:twoCellAnchor editAs="absolute">
    <xdr:from>
      <xdr:col>3</xdr:col>
      <xdr:colOff>676275</xdr:colOff>
      <xdr:row>10</xdr:row>
      <xdr:rowOff>230385</xdr:rowOff>
    </xdr:from>
    <xdr:to>
      <xdr:col>4</xdr:col>
      <xdr:colOff>569784</xdr:colOff>
      <xdr:row>12</xdr:row>
      <xdr:rowOff>111259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8A58983-E1B8-431C-9E62-24FA4E26C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2440185"/>
          <a:ext cx="579309" cy="357124"/>
        </a:xfrm>
        <a:prstGeom prst="rect">
          <a:avLst/>
        </a:prstGeom>
      </xdr:spPr>
    </xdr:pic>
    <xdr:clientData/>
  </xdr:twoCellAnchor>
  <xdr:twoCellAnchor editAs="absolute">
    <xdr:from>
      <xdr:col>3</xdr:col>
      <xdr:colOff>60409</xdr:colOff>
      <xdr:row>12</xdr:row>
      <xdr:rowOff>179070</xdr:rowOff>
    </xdr:from>
    <xdr:to>
      <xdr:col>3</xdr:col>
      <xdr:colOff>560740</xdr:colOff>
      <xdr:row>14</xdr:row>
      <xdr:rowOff>127267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BE7A978-6178-42CF-B772-13D12E1D1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409" y="2865120"/>
          <a:ext cx="500331" cy="424447"/>
        </a:xfrm>
        <a:prstGeom prst="rect">
          <a:avLst/>
        </a:prstGeom>
      </xdr:spPr>
    </xdr:pic>
    <xdr:clientData/>
  </xdr:twoCellAnchor>
  <xdr:twoCellAnchor editAs="absolute">
    <xdr:from>
      <xdr:col>4</xdr:col>
      <xdr:colOff>22309</xdr:colOff>
      <xdr:row>12</xdr:row>
      <xdr:rowOff>179070</xdr:rowOff>
    </xdr:from>
    <xdr:to>
      <xdr:col>4</xdr:col>
      <xdr:colOff>522640</xdr:colOff>
      <xdr:row>14</xdr:row>
      <xdr:rowOff>127267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64F8587-85D9-4DCA-8CE0-2091284BB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3109" y="2865120"/>
          <a:ext cx="500331" cy="424447"/>
        </a:xfrm>
        <a:prstGeom prst="rect">
          <a:avLst/>
        </a:prstGeom>
      </xdr:spPr>
    </xdr:pic>
    <xdr:clientData/>
  </xdr:twoCellAnchor>
  <xdr:twoCellAnchor editAs="absolute">
    <xdr:from>
      <xdr:col>18</xdr:col>
      <xdr:colOff>98509</xdr:colOff>
      <xdr:row>12</xdr:row>
      <xdr:rowOff>160020</xdr:rowOff>
    </xdr:from>
    <xdr:to>
      <xdr:col>18</xdr:col>
      <xdr:colOff>598840</xdr:colOff>
      <xdr:row>14</xdr:row>
      <xdr:rowOff>108217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18F5A88-CC10-4965-AB4B-7829F4F3D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4309" y="2846070"/>
          <a:ext cx="500331" cy="424447"/>
        </a:xfrm>
        <a:prstGeom prst="rect">
          <a:avLst/>
        </a:prstGeom>
      </xdr:spPr>
    </xdr:pic>
    <xdr:clientData/>
  </xdr:twoCellAnchor>
  <xdr:twoCellAnchor editAs="absolute">
    <xdr:from>
      <xdr:col>18</xdr:col>
      <xdr:colOff>112395</xdr:colOff>
      <xdr:row>4</xdr:row>
      <xdr:rowOff>124274</xdr:rowOff>
    </xdr:from>
    <xdr:to>
      <xdr:col>19</xdr:col>
      <xdr:colOff>118363</xdr:colOff>
      <xdr:row>6</xdr:row>
      <xdr:rowOff>47626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B63382-C3E5-4A60-A559-1EC19CE6AD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12228195" y="905324"/>
          <a:ext cx="615568" cy="399602"/>
        </a:xfrm>
        <a:prstGeom prst="rect">
          <a:avLst/>
        </a:prstGeom>
      </xdr:spPr>
    </xdr:pic>
    <xdr:clientData/>
  </xdr:twoCellAnchor>
  <xdr:twoCellAnchor editAs="absolute">
    <xdr:from>
      <xdr:col>18</xdr:col>
      <xdr:colOff>106387</xdr:colOff>
      <xdr:row>8</xdr:row>
      <xdr:rowOff>173001</xdr:rowOff>
    </xdr:from>
    <xdr:to>
      <xdr:col>18</xdr:col>
      <xdr:colOff>609564</xdr:colOff>
      <xdr:row>10</xdr:row>
      <xdr:rowOff>126396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8ADC0A93-F9AB-44A3-BCC8-847EB9E7A9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99" t="8348" r="14957" b="29998"/>
        <a:stretch/>
      </xdr:blipFill>
      <xdr:spPr>
        <a:xfrm>
          <a:off x="12222187" y="1906551"/>
          <a:ext cx="503177" cy="429645"/>
        </a:xfrm>
        <a:prstGeom prst="rect">
          <a:avLst/>
        </a:prstGeom>
      </xdr:spPr>
    </xdr:pic>
    <xdr:clientData/>
  </xdr:twoCellAnchor>
  <xdr:twoCellAnchor editAs="absolute">
    <xdr:from>
      <xdr:col>18</xdr:col>
      <xdr:colOff>129568</xdr:colOff>
      <xdr:row>6</xdr:row>
      <xdr:rowOff>92908</xdr:rowOff>
    </xdr:from>
    <xdr:to>
      <xdr:col>19</xdr:col>
      <xdr:colOff>42742</xdr:colOff>
      <xdr:row>8</xdr:row>
      <xdr:rowOff>84464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3078B59-5EB1-412B-A1A7-FE0AD4AA76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12245368" y="1350208"/>
          <a:ext cx="522774" cy="467806"/>
        </a:xfrm>
        <a:prstGeom prst="rect">
          <a:avLst/>
        </a:prstGeom>
      </xdr:spPr>
    </xdr:pic>
    <xdr:clientData/>
  </xdr:twoCellAnchor>
  <xdr:twoCellAnchor editAs="absolute">
    <xdr:from>
      <xdr:col>18</xdr:col>
      <xdr:colOff>66675</xdr:colOff>
      <xdr:row>10</xdr:row>
      <xdr:rowOff>211335</xdr:rowOff>
    </xdr:from>
    <xdr:to>
      <xdr:col>19</xdr:col>
      <xdr:colOff>36384</xdr:colOff>
      <xdr:row>12</xdr:row>
      <xdr:rowOff>92209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1838B66-1590-42A1-9722-4D25D5D4E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2475" y="2421135"/>
          <a:ext cx="579309" cy="357124"/>
        </a:xfrm>
        <a:prstGeom prst="rect">
          <a:avLst/>
        </a:prstGeom>
      </xdr:spPr>
    </xdr:pic>
    <xdr:clientData/>
  </xdr:twoCellAnchor>
  <xdr:twoCellAnchor editAs="absolute">
    <xdr:from>
      <xdr:col>19</xdr:col>
      <xdr:colOff>131445</xdr:colOff>
      <xdr:row>4</xdr:row>
      <xdr:rowOff>133799</xdr:rowOff>
    </xdr:from>
    <xdr:to>
      <xdr:col>20</xdr:col>
      <xdr:colOff>137413</xdr:colOff>
      <xdr:row>6</xdr:row>
      <xdr:rowOff>57151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6C6BE25-5D05-473A-B852-6D78D723AF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12856845" y="914849"/>
          <a:ext cx="615568" cy="399602"/>
        </a:xfrm>
        <a:prstGeom prst="rect">
          <a:avLst/>
        </a:prstGeom>
      </xdr:spPr>
    </xdr:pic>
    <xdr:clientData/>
  </xdr:twoCellAnchor>
  <xdr:twoCellAnchor editAs="absolute">
    <xdr:from>
      <xdr:col>19</xdr:col>
      <xdr:colOff>158143</xdr:colOff>
      <xdr:row>6</xdr:row>
      <xdr:rowOff>121483</xdr:rowOff>
    </xdr:from>
    <xdr:to>
      <xdr:col>20</xdr:col>
      <xdr:colOff>71317</xdr:colOff>
      <xdr:row>8</xdr:row>
      <xdr:rowOff>113039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083EB3A-31E8-4A40-8255-478D378F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12883543" y="1378783"/>
          <a:ext cx="522774" cy="467806"/>
        </a:xfrm>
        <a:prstGeom prst="rect">
          <a:avLst/>
        </a:prstGeom>
      </xdr:spPr>
    </xdr:pic>
    <xdr:clientData/>
  </xdr:twoCellAnchor>
  <xdr:twoCellAnchor editAs="absolute">
    <xdr:from>
      <xdr:col>19</xdr:col>
      <xdr:colOff>115912</xdr:colOff>
      <xdr:row>8</xdr:row>
      <xdr:rowOff>192051</xdr:rowOff>
    </xdr:from>
    <xdr:to>
      <xdr:col>20</xdr:col>
      <xdr:colOff>9489</xdr:colOff>
      <xdr:row>10</xdr:row>
      <xdr:rowOff>145446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559273E-05AD-466F-B8AF-20AD776BE2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99" t="8348" r="14957" b="29998"/>
        <a:stretch/>
      </xdr:blipFill>
      <xdr:spPr>
        <a:xfrm>
          <a:off x="12841312" y="1925601"/>
          <a:ext cx="503177" cy="429645"/>
        </a:xfrm>
        <a:prstGeom prst="rect">
          <a:avLst/>
        </a:prstGeom>
      </xdr:spPr>
    </xdr:pic>
    <xdr:clientData/>
  </xdr:twoCellAnchor>
  <xdr:twoCellAnchor editAs="absolute">
    <xdr:from>
      <xdr:col>19</xdr:col>
      <xdr:colOff>95250</xdr:colOff>
      <xdr:row>10</xdr:row>
      <xdr:rowOff>211335</xdr:rowOff>
    </xdr:from>
    <xdr:to>
      <xdr:col>20</xdr:col>
      <xdr:colOff>64959</xdr:colOff>
      <xdr:row>12</xdr:row>
      <xdr:rowOff>92209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26BA7B0-794F-4092-BCF9-C7BD84A07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0650" y="2421135"/>
          <a:ext cx="579309" cy="357124"/>
        </a:xfrm>
        <a:prstGeom prst="rect">
          <a:avLst/>
        </a:prstGeom>
      </xdr:spPr>
    </xdr:pic>
    <xdr:clientData/>
  </xdr:twoCellAnchor>
  <xdr:twoCellAnchor editAs="absolute">
    <xdr:from>
      <xdr:col>19</xdr:col>
      <xdr:colOff>127084</xdr:colOff>
      <xdr:row>12</xdr:row>
      <xdr:rowOff>169545</xdr:rowOff>
    </xdr:from>
    <xdr:to>
      <xdr:col>20</xdr:col>
      <xdr:colOff>17815</xdr:colOff>
      <xdr:row>14</xdr:row>
      <xdr:rowOff>117742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714D4BF4-B878-437E-B23E-C00C65582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2484" y="2855595"/>
          <a:ext cx="500331" cy="4244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6</xdr:row>
          <xdr:rowOff>22522</xdr:rowOff>
        </xdr:from>
        <xdr:to>
          <xdr:col>8</xdr:col>
          <xdr:colOff>658418</xdr:colOff>
          <xdr:row>12</xdr:row>
          <xdr:rowOff>190500</xdr:rowOff>
        </xdr:to>
        <xdr:pic>
          <xdr:nvPicPr>
            <xdr:cNvPr id="39" name="Picture 38">
              <a:extLst>
                <a:ext uri="{FF2B5EF4-FFF2-40B4-BE49-F238E27FC236}">
                  <a16:creationId xmlns:a16="http://schemas.microsoft.com/office/drawing/2014/main" id="{7E88801A-5BCC-40A2-9A8E-A5DEBDAB9D6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ture" spid="_x0000_s4191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l="7949" t="7918" r="5882" b="5451"/>
            <a:stretch>
              <a:fillRect/>
            </a:stretch>
          </xdr:blipFill>
          <xdr:spPr>
            <a:xfrm>
              <a:off x="3990975" y="1279822"/>
              <a:ext cx="2001443" cy="159672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76199</xdr:colOff>
          <xdr:row>6</xdr:row>
          <xdr:rowOff>12997</xdr:rowOff>
        </xdr:from>
        <xdr:to>
          <xdr:col>12</xdr:col>
          <xdr:colOff>676274</xdr:colOff>
          <xdr:row>12</xdr:row>
          <xdr:rowOff>185642</xdr:rowOff>
        </xdr:to>
        <xdr:pic>
          <xdr:nvPicPr>
            <xdr:cNvPr id="41" name="Picture 40">
              <a:extLst>
                <a:ext uri="{FF2B5EF4-FFF2-40B4-BE49-F238E27FC236}">
                  <a16:creationId xmlns:a16="http://schemas.microsoft.com/office/drawing/2014/main" id="{52D80546-90D8-4FFC-BA18-7AB58F65B6C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ture2" spid="_x0000_s4192"/>
                </a:ext>
              </a:extLst>
            </xdr:cNvPicPr>
          </xdr:nvPicPr>
          <xdr:blipFill rotWithShape="1">
            <a:blip xmlns:r="http://schemas.openxmlformats.org/officeDocument/2006/relationships" r:embed="rId7"/>
            <a:srcRect l="8626" t="6725" r="6797" b="6645"/>
            <a:stretch>
              <a:fillRect/>
            </a:stretch>
          </xdr:blipFill>
          <xdr:spPr>
            <a:xfrm>
              <a:off x="6781799" y="1270297"/>
              <a:ext cx="1971675" cy="160139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6</xdr:row>
          <xdr:rowOff>19050</xdr:rowOff>
        </xdr:from>
        <xdr:to>
          <xdr:col>16</xdr:col>
          <xdr:colOff>657225</xdr:colOff>
          <xdr:row>12</xdr:row>
          <xdr:rowOff>168902</xdr:rowOff>
        </xdr:to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6B5A3766-D1C8-4280-AEC7-46239F73B17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ture3" spid="_x0000_s4193"/>
                </a:ext>
              </a:extLst>
            </xdr:cNvPicPr>
          </xdr:nvPicPr>
          <xdr:blipFill rotWithShape="1">
            <a:blip xmlns:r="http://schemas.openxmlformats.org/officeDocument/2006/relationships" r:embed="rId8"/>
            <a:srcRect l="8274" t="6725" r="6157" b="6645"/>
            <a:stretch>
              <a:fillRect/>
            </a:stretch>
          </xdr:blipFill>
          <xdr:spPr>
            <a:xfrm>
              <a:off x="9477375" y="1276350"/>
              <a:ext cx="2000250" cy="1578602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absolute">
    <xdr:from>
      <xdr:col>18</xdr:col>
      <xdr:colOff>93345</xdr:colOff>
      <xdr:row>15</xdr:row>
      <xdr:rowOff>133799</xdr:rowOff>
    </xdr:from>
    <xdr:to>
      <xdr:col>19</xdr:col>
      <xdr:colOff>99313</xdr:colOff>
      <xdr:row>17</xdr:row>
      <xdr:rowOff>123826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CE171872-408D-4183-973E-E0B5F5614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12209145" y="3477074"/>
          <a:ext cx="615568" cy="3996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42</xdr:col>
      <xdr:colOff>695114</xdr:colOff>
      <xdr:row>52</xdr:row>
      <xdr:rowOff>472440</xdr:rowOff>
    </xdr:from>
    <xdr:to>
      <xdr:col>43</xdr:col>
      <xdr:colOff>584667</xdr:colOff>
      <xdr:row>54</xdr:row>
      <xdr:rowOff>104280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FFD9F6-A54E-4C61-B9F6-A7A46D3338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27134820" y="9982200"/>
          <a:ext cx="770087" cy="683400"/>
        </a:xfrm>
        <a:prstGeom prst="rect">
          <a:avLst/>
        </a:prstGeom>
      </xdr:spPr>
    </xdr:pic>
    <xdr:clientData/>
  </xdr:twoCellAnchor>
  <xdr:twoCellAnchor>
    <xdr:from>
      <xdr:col>41</xdr:col>
      <xdr:colOff>640080</xdr:colOff>
      <xdr:row>56</xdr:row>
      <xdr:rowOff>152400</xdr:rowOff>
    </xdr:from>
    <xdr:to>
      <xdr:col>42</xdr:col>
      <xdr:colOff>487680</xdr:colOff>
      <xdr:row>58</xdr:row>
      <xdr:rowOff>137160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7811B904-E814-F208-483E-7AFD5C6DD325}"/>
            </a:ext>
          </a:extLst>
        </xdr:cNvPr>
        <xdr:cNvSpPr/>
      </xdr:nvSpPr>
      <xdr:spPr>
        <a:xfrm>
          <a:off x="25709880" y="12313920"/>
          <a:ext cx="731520" cy="350520"/>
        </a:xfrm>
        <a:prstGeom prst="lef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165184</xdr:colOff>
      <xdr:row>0</xdr:row>
      <xdr:rowOff>63781</xdr:rowOff>
    </xdr:from>
    <xdr:to>
      <xdr:col>4</xdr:col>
      <xdr:colOff>902210</xdr:colOff>
      <xdr:row>0</xdr:row>
      <xdr:rowOff>685214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EEA9A4-7ADA-8E62-AC58-33C5283CB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3584" y="63781"/>
          <a:ext cx="737026" cy="621433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</xdr:colOff>
      <xdr:row>4</xdr:row>
      <xdr:rowOff>85184</xdr:rowOff>
    </xdr:from>
    <xdr:to>
      <xdr:col>4</xdr:col>
      <xdr:colOff>982980</xdr:colOff>
      <xdr:row>4</xdr:row>
      <xdr:rowOff>671924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1189056-F8FC-7AB0-8283-4DBFCCD2A0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86" t="21721" r="4528" b="28465"/>
        <a:stretch/>
      </xdr:blipFill>
      <xdr:spPr>
        <a:xfrm>
          <a:off x="2514600" y="2980784"/>
          <a:ext cx="906780" cy="586740"/>
        </a:xfrm>
        <a:prstGeom prst="rect">
          <a:avLst/>
        </a:prstGeom>
      </xdr:spPr>
    </xdr:pic>
    <xdr:clientData/>
  </xdr:twoCellAnchor>
  <xdr:twoCellAnchor editAs="absolute">
    <xdr:from>
      <xdr:col>4</xdr:col>
      <xdr:colOff>77040</xdr:colOff>
      <xdr:row>5</xdr:row>
      <xdr:rowOff>69420</xdr:rowOff>
    </xdr:from>
    <xdr:to>
      <xdr:col>4</xdr:col>
      <xdr:colOff>960120</xdr:colOff>
      <xdr:row>5</xdr:row>
      <xdr:rowOff>679111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D5B33F6-1168-A234-32A8-FF71E0877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5440" y="3688920"/>
          <a:ext cx="883080" cy="609691"/>
        </a:xfrm>
        <a:prstGeom prst="rect">
          <a:avLst/>
        </a:prstGeom>
      </xdr:spPr>
    </xdr:pic>
    <xdr:clientData/>
  </xdr:twoCellAnchor>
  <xdr:twoCellAnchor editAs="absolute">
    <xdr:from>
      <xdr:col>4</xdr:col>
      <xdr:colOff>133057</xdr:colOff>
      <xdr:row>2</xdr:row>
      <xdr:rowOff>55807</xdr:rowOff>
    </xdr:from>
    <xdr:to>
      <xdr:col>4</xdr:col>
      <xdr:colOff>874276</xdr:colOff>
      <xdr:row>2</xdr:row>
      <xdr:rowOff>682992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FB77414-0AA3-72DE-AD10-5F9D37FF5C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99" t="8348" r="14957" b="29998"/>
        <a:stretch/>
      </xdr:blipFill>
      <xdr:spPr>
        <a:xfrm>
          <a:off x="2571457" y="1503607"/>
          <a:ext cx="741219" cy="627185"/>
        </a:xfrm>
        <a:prstGeom prst="rect">
          <a:avLst/>
        </a:prstGeom>
      </xdr:spPr>
    </xdr:pic>
    <xdr:clientData/>
  </xdr:twoCellAnchor>
  <xdr:twoCellAnchor editAs="absolute">
    <xdr:from>
      <xdr:col>4</xdr:col>
      <xdr:colOff>146712</xdr:colOff>
      <xdr:row>3</xdr:row>
      <xdr:rowOff>27148</xdr:rowOff>
    </xdr:from>
    <xdr:to>
      <xdr:col>4</xdr:col>
      <xdr:colOff>916799</xdr:colOff>
      <xdr:row>3</xdr:row>
      <xdr:rowOff>710548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B5B8129-E020-4F75-ED98-CAEAEE8F3C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11" b="22093"/>
        <a:stretch/>
      </xdr:blipFill>
      <xdr:spPr>
        <a:xfrm>
          <a:off x="2585112" y="2198848"/>
          <a:ext cx="770087" cy="683400"/>
        </a:xfrm>
        <a:prstGeom prst="rect">
          <a:avLst/>
        </a:prstGeom>
      </xdr:spPr>
    </xdr:pic>
    <xdr:clientData/>
  </xdr:twoCellAnchor>
  <xdr:twoCellAnchor editAs="absolute">
    <xdr:from>
      <xdr:col>4</xdr:col>
      <xdr:colOff>83820</xdr:colOff>
      <xdr:row>1</xdr:row>
      <xdr:rowOff>97950</xdr:rowOff>
    </xdr:from>
    <xdr:to>
      <xdr:col>4</xdr:col>
      <xdr:colOff>937187</xdr:colOff>
      <xdr:row>1</xdr:row>
      <xdr:rowOff>620211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B44DD96-3FA7-B22E-A57E-2CD392984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2220" y="821850"/>
          <a:ext cx="853367" cy="5222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0</xdr:row>
          <xdr:rowOff>83820</xdr:rowOff>
        </xdr:from>
        <xdr:to>
          <xdr:col>10</xdr:col>
          <xdr:colOff>914400</xdr:colOff>
          <xdr:row>0</xdr:row>
          <xdr:rowOff>632460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85ED2554-8FFA-42BB-96AA-B22ACAEB79A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ture" spid="_x0000_s3182"/>
                </a:ext>
              </a:extLst>
            </xdr:cNvPicPr>
          </xdr:nvPicPr>
          <xdr:blipFill rotWithShape="1">
            <a:blip xmlns:r="http://schemas.openxmlformats.org/officeDocument/2006/relationships" r:embed="rId7"/>
            <a:srcRect l="4800" t="8960" r="6400" b="10399"/>
            <a:stretch>
              <a:fillRect/>
            </a:stretch>
          </xdr:blipFill>
          <xdr:spPr>
            <a:xfrm>
              <a:off x="6568440" y="83820"/>
              <a:ext cx="845820" cy="54864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0</xdr:row>
          <xdr:rowOff>83820</xdr:rowOff>
        </xdr:from>
        <xdr:to>
          <xdr:col>11</xdr:col>
          <xdr:colOff>906780</xdr:colOff>
          <xdr:row>0</xdr:row>
          <xdr:rowOff>632460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78022A5D-D07C-4832-87F6-E3F72A6E269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ture2" spid="_x0000_s3183"/>
                </a:ext>
              </a:extLst>
            </xdr:cNvPicPr>
          </xdr:nvPicPr>
          <xdr:blipFill rotWithShape="1">
            <a:blip xmlns:r="http://schemas.openxmlformats.org/officeDocument/2006/relationships" r:embed="rId8"/>
            <a:srcRect l="4800" t="8960" r="6400" b="10399"/>
            <a:stretch>
              <a:fillRect/>
            </a:stretch>
          </xdr:blipFill>
          <xdr:spPr>
            <a:xfrm>
              <a:off x="7574280" y="83820"/>
              <a:ext cx="845820" cy="54864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76200</xdr:colOff>
          <xdr:row>0</xdr:row>
          <xdr:rowOff>83820</xdr:rowOff>
        </xdr:from>
        <xdr:to>
          <xdr:col>12</xdr:col>
          <xdr:colOff>922020</xdr:colOff>
          <xdr:row>0</xdr:row>
          <xdr:rowOff>632460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A5B7FE9C-E908-4CB2-87D8-75C4AD688AD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ture3" spid="_x0000_s318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4800" t="8960" r="6400" b="10399"/>
            <a:stretch>
              <a:fillRect/>
            </a:stretch>
          </xdr:blipFill>
          <xdr:spPr>
            <a:xfrm>
              <a:off x="8602980" y="83820"/>
              <a:ext cx="845820" cy="54864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4E9D05-46C8-47E8-9535-02F2133C76FD}" name="PayoutTable" displayName="PayoutTable" ref="I2:L14" totalsRowCount="1" headerRowDxfId="5" totalsRowDxfId="4">
  <autoFilter ref="I2:L13" xr:uid="{4D4E9D05-46C8-47E8-9535-02F2133C76FD}">
    <filterColumn colId="0" hiddenButton="1"/>
    <filterColumn colId="1" hiddenButton="1"/>
    <filterColumn colId="2" hiddenButton="1"/>
    <filterColumn colId="3" hiddenButton="1"/>
  </autoFilter>
  <tableColumns count="4">
    <tableColumn id="1" xr3:uid="{502F0E15-459C-4371-9ADB-36D8355AFB4B}" name="COMBOS" dataDxfId="3"/>
    <tableColumn id="2" xr3:uid="{8D95B100-1E24-4283-ACEE-345F8D0DC90F}" name="PAYS" totalsRowLabel="Totals:" totalsRowDxfId="2"/>
    <tableColumn id="3" xr3:uid="{A6BD4B20-81B9-455B-9A2E-0005E9E43696}" name="HITS" totalsRowFunction="sum" totalsRowDxfId="1"/>
    <tableColumn id="4" xr3:uid="{676E808D-5E5B-49F9-BA01-42A3F1DA0011}" name="CONTRIBUTION" totalsRowFunction="sum" totalsRowDxfId="0">
      <calculatedColumnFormula>PayoutTable[[#This Row],[PAYS]]*PayoutTable[[#This Row],[HITS]]/$E$3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4C20-422D-40EB-B45C-CFDBB49F1480}">
  <dimension ref="B4:AA27"/>
  <sheetViews>
    <sheetView showGridLines="0" zoomScale="80" zoomScaleNormal="80" workbookViewId="0">
      <selection activeCell="E19" sqref="E19"/>
    </sheetView>
  </sheetViews>
  <sheetFormatPr defaultRowHeight="14.4" x14ac:dyDescent="0.3"/>
  <cols>
    <col min="1" max="1" width="8.88671875" customWidth="1"/>
    <col min="3" max="17" width="10" customWidth="1"/>
  </cols>
  <sheetData>
    <row r="4" spans="2:22" ht="18.600000000000001" customHeight="1" x14ac:dyDescent="0.3"/>
    <row r="5" spans="2:22" ht="18.600000000000001" customHeight="1" x14ac:dyDescent="0.3"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2:22" ht="18.600000000000001" customHeight="1" x14ac:dyDescent="0.3">
      <c r="B6" s="14" t="s">
        <v>33</v>
      </c>
      <c r="E6" s="18"/>
      <c r="F6" s="17"/>
      <c r="G6" s="35"/>
      <c r="H6" s="35"/>
      <c r="I6" s="35"/>
      <c r="J6" s="17"/>
      <c r="K6" s="35"/>
      <c r="L6" s="35"/>
      <c r="M6" s="35"/>
      <c r="N6" s="17"/>
      <c r="O6" s="35"/>
      <c r="P6" s="35"/>
      <c r="Q6" s="35"/>
      <c r="R6" s="17"/>
      <c r="U6" s="19">
        <v>8</v>
      </c>
      <c r="V6" s="13"/>
    </row>
    <row r="7" spans="2:22" ht="18.600000000000001" customHeight="1" x14ac:dyDescent="0.3">
      <c r="F7" s="17"/>
      <c r="G7" s="35"/>
      <c r="H7" s="35"/>
      <c r="I7" s="35"/>
      <c r="J7" s="17"/>
      <c r="K7" s="35"/>
      <c r="L7" s="35"/>
      <c r="M7" s="35"/>
      <c r="N7" s="17"/>
      <c r="O7" s="35"/>
      <c r="P7" s="35"/>
      <c r="Q7" s="35"/>
      <c r="R7" s="17"/>
    </row>
    <row r="8" spans="2:22" ht="18.600000000000001" customHeight="1" x14ac:dyDescent="0.3">
      <c r="B8" s="14">
        <v>18</v>
      </c>
      <c r="E8" s="15"/>
      <c r="F8" s="17"/>
      <c r="G8" s="35"/>
      <c r="H8" s="35"/>
      <c r="I8" s="35"/>
      <c r="J8" s="17"/>
      <c r="K8" s="35"/>
      <c r="L8" s="35"/>
      <c r="M8" s="35"/>
      <c r="N8" s="17"/>
      <c r="O8" s="35"/>
      <c r="P8" s="35"/>
      <c r="Q8" s="35"/>
      <c r="R8" s="17"/>
      <c r="U8" s="19">
        <v>6</v>
      </c>
    </row>
    <row r="9" spans="2:22" ht="18.600000000000001" customHeight="1" x14ac:dyDescent="0.3">
      <c r="F9" s="17"/>
      <c r="G9" s="35"/>
      <c r="H9" s="35"/>
      <c r="I9" s="35"/>
      <c r="J9" s="17"/>
      <c r="K9" s="35"/>
      <c r="L9" s="35"/>
      <c r="M9" s="35"/>
      <c r="N9" s="17"/>
      <c r="O9" s="35"/>
      <c r="P9" s="35"/>
      <c r="Q9" s="35"/>
      <c r="R9" s="17"/>
    </row>
    <row r="10" spans="2:22" ht="18.600000000000001" customHeight="1" x14ac:dyDescent="0.3">
      <c r="B10" s="14">
        <v>15</v>
      </c>
      <c r="F10" s="17"/>
      <c r="G10" s="35"/>
      <c r="H10" s="35"/>
      <c r="I10" s="35"/>
      <c r="J10" s="17"/>
      <c r="K10" s="35"/>
      <c r="L10" s="35"/>
      <c r="M10" s="35"/>
      <c r="N10" s="17"/>
      <c r="O10" s="35"/>
      <c r="P10" s="35"/>
      <c r="Q10" s="35"/>
      <c r="R10" s="17"/>
      <c r="U10" s="19">
        <v>4</v>
      </c>
    </row>
    <row r="11" spans="2:22" ht="18.600000000000001" customHeight="1" x14ac:dyDescent="0.3">
      <c r="F11" s="17"/>
      <c r="G11" s="35"/>
      <c r="H11" s="35"/>
      <c r="I11" s="35"/>
      <c r="J11" s="17"/>
      <c r="K11" s="35"/>
      <c r="L11" s="35"/>
      <c r="M11" s="35"/>
      <c r="N11" s="17"/>
      <c r="O11" s="35"/>
      <c r="P11" s="35"/>
      <c r="Q11" s="35"/>
      <c r="R11" s="17"/>
    </row>
    <row r="12" spans="2:22" ht="18.600000000000001" customHeight="1" x14ac:dyDescent="0.3">
      <c r="B12" s="14">
        <v>12</v>
      </c>
      <c r="F12" s="17"/>
      <c r="G12" s="35"/>
      <c r="H12" s="35"/>
      <c r="I12" s="35"/>
      <c r="J12" s="17"/>
      <c r="K12" s="35"/>
      <c r="L12" s="35"/>
      <c r="M12" s="35"/>
      <c r="N12" s="17"/>
      <c r="O12" s="35"/>
      <c r="P12" s="35"/>
      <c r="Q12" s="35"/>
      <c r="R12" s="17"/>
      <c r="U12" s="19">
        <v>2</v>
      </c>
    </row>
    <row r="13" spans="2:22" ht="18.600000000000001" customHeight="1" x14ac:dyDescent="0.3">
      <c r="F13" s="17"/>
      <c r="G13" s="35"/>
      <c r="H13" s="35"/>
      <c r="I13" s="35"/>
      <c r="J13" s="17"/>
      <c r="K13" s="35"/>
      <c r="L13" s="35"/>
      <c r="M13" s="35"/>
      <c r="N13" s="17"/>
      <c r="O13" s="35"/>
      <c r="P13" s="35"/>
      <c r="Q13" s="35"/>
      <c r="R13" s="17"/>
    </row>
    <row r="14" spans="2:22" ht="18.600000000000001" customHeight="1" x14ac:dyDescent="0.3">
      <c r="B14" s="14">
        <v>10</v>
      </c>
      <c r="F14" s="17"/>
      <c r="G14" s="35"/>
      <c r="H14" s="35"/>
      <c r="I14" s="35"/>
      <c r="J14" s="17"/>
      <c r="K14" s="35"/>
      <c r="L14" s="35"/>
      <c r="M14" s="35"/>
      <c r="N14" s="17"/>
      <c r="O14" s="35"/>
      <c r="P14" s="35"/>
      <c r="Q14" s="35"/>
      <c r="R14" s="17"/>
      <c r="U14" s="19">
        <v>1</v>
      </c>
    </row>
    <row r="15" spans="2:22" x14ac:dyDescent="0.3"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7" spans="10:27" ht="18" x14ac:dyDescent="0.3">
      <c r="J17" s="36">
        <f ca="1">IF(Maths!P22="5 5 5",Bonus_Game!C41,
IF(NOT(ISERROR(VLOOKUP(Maths!P22,PayoutTable[],2,0))),VLOOKUP(Maths!P22,PayoutTable[],2,0),
IF(NOT(ISERROR(VLOOKUP(LEFT(Maths!P22,3),PayoutTable[],2,0))),VLOOKUP(LEFT(Maths!P22,3),PayoutTable[],2,0),
IF(NOT(ISERROR(VLOOKUP(VALUE(LEFT(Maths!P22,1)),PayoutTable[],2,0))),VLOOKUP(VALUE(LEFT(Maths!P22,1)),PayoutTable[],2,0),0))))</f>
        <v>0</v>
      </c>
      <c r="K17" s="36"/>
      <c r="L17" s="36"/>
      <c r="M17" s="36"/>
      <c r="N17" s="36"/>
      <c r="U17" s="19">
        <v>1</v>
      </c>
    </row>
    <row r="18" spans="10:27" x14ac:dyDescent="0.3">
      <c r="J18" s="36"/>
      <c r="K18" s="36"/>
      <c r="L18" s="36"/>
      <c r="M18" s="36"/>
      <c r="N18" s="36"/>
    </row>
    <row r="19" spans="10:27" x14ac:dyDescent="0.3">
      <c r="J19" s="36"/>
      <c r="K19" s="36"/>
      <c r="L19" s="36"/>
      <c r="M19" s="36"/>
      <c r="N19" s="36"/>
    </row>
    <row r="20" spans="10:27" x14ac:dyDescent="0.3">
      <c r="J20" s="36"/>
      <c r="K20" s="36"/>
      <c r="L20" s="36"/>
      <c r="M20" s="36"/>
      <c r="N20" s="36"/>
    </row>
    <row r="21" spans="10:27" x14ac:dyDescent="0.3">
      <c r="J21" s="36"/>
      <c r="K21" s="36"/>
      <c r="L21" s="36"/>
      <c r="M21" s="36"/>
      <c r="N21" s="36"/>
    </row>
    <row r="22" spans="10:27" x14ac:dyDescent="0.3">
      <c r="J22" s="36"/>
      <c r="K22" s="36"/>
      <c r="L22" s="36"/>
      <c r="M22" s="36"/>
      <c r="N22" s="36"/>
    </row>
    <row r="23" spans="10:27" x14ac:dyDescent="0.3">
      <c r="J23" s="36"/>
      <c r="K23" s="36"/>
      <c r="L23" s="36"/>
      <c r="M23" s="36"/>
      <c r="N23" s="36"/>
    </row>
    <row r="24" spans="10:27" x14ac:dyDescent="0.3">
      <c r="J24" s="36"/>
      <c r="K24" s="36"/>
      <c r="L24" s="36"/>
      <c r="M24" s="36"/>
      <c r="N24" s="36"/>
    </row>
    <row r="27" spans="10:27" x14ac:dyDescent="0.3">
      <c r="AA27" t="s">
        <v>52</v>
      </c>
    </row>
  </sheetData>
  <mergeCells count="4">
    <mergeCell ref="O6:Q14"/>
    <mergeCell ref="J17:N24"/>
    <mergeCell ref="G6:I14"/>
    <mergeCell ref="K6:M1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31E42-7AB4-4D3F-A98A-535842A16497}">
  <sheetPr codeName="Sheet1"/>
  <dimension ref="B1:AF23"/>
  <sheetViews>
    <sheetView tabSelected="1" zoomScale="99" zoomScaleNormal="99" workbookViewId="0">
      <selection activeCell="O4" sqref="O4"/>
    </sheetView>
  </sheetViews>
  <sheetFormatPr defaultRowHeight="14.4" x14ac:dyDescent="0.3"/>
  <cols>
    <col min="7" max="7" width="8.88671875" customWidth="1"/>
    <col min="8" max="8" width="9.21875" bestFit="1" customWidth="1"/>
    <col min="12" max="12" width="14.44140625" customWidth="1"/>
    <col min="13" max="13" width="13.109375" customWidth="1"/>
    <col min="15" max="15" width="17.77734375" customWidth="1"/>
    <col min="16" max="16" width="9.5546875" customWidth="1"/>
    <col min="17" max="19" width="8.88671875" customWidth="1"/>
    <col min="27" max="27" width="8.88671875" customWidth="1"/>
    <col min="28" max="28" width="18.5546875" customWidth="1"/>
  </cols>
  <sheetData>
    <row r="1" spans="2:32" ht="15" thickBot="1" x14ac:dyDescent="0.35"/>
    <row r="2" spans="2:32" ht="15.6" thickTop="1" thickBot="1" x14ac:dyDescent="0.35">
      <c r="B2" s="37" t="s">
        <v>3</v>
      </c>
      <c r="C2" s="38"/>
      <c r="D2" s="38"/>
      <c r="E2" s="39"/>
      <c r="F2" s="8"/>
      <c r="I2" s="1" t="s">
        <v>23</v>
      </c>
      <c r="J2" s="1" t="s">
        <v>4</v>
      </c>
      <c r="K2" s="1" t="s">
        <v>13</v>
      </c>
      <c r="L2" s="1" t="s">
        <v>24</v>
      </c>
    </row>
    <row r="3" spans="2:32" ht="15.6" thickTop="1" thickBot="1" x14ac:dyDescent="0.35">
      <c r="B3" s="4">
        <f>COUNTA(B5:B10000)</f>
        <v>14</v>
      </c>
      <c r="C3" s="4">
        <f>COUNTA(C5:C10000)</f>
        <v>14</v>
      </c>
      <c r="D3" s="4">
        <f>COUNTA(D5:D10000)</f>
        <v>14</v>
      </c>
      <c r="E3" s="2">
        <f>PRODUCT(B3:D3)</f>
        <v>2744</v>
      </c>
      <c r="I3" s="1" t="s">
        <v>18</v>
      </c>
      <c r="J3" s="6">
        <f>Bonus_Game!Z20</f>
        <v>100.44367283950618</v>
      </c>
      <c r="K3" s="1">
        <f>COUNTIF(Reel1,5)*COUNTIF(Reel2,5)*COUNTIF(Reel3,5)</f>
        <v>4</v>
      </c>
      <c r="L3" s="23">
        <f>PayoutTable[[#This Row],[PAYS]]*PayoutTable[[#This Row],[HITS]]/$E$3</f>
        <v>0.14641934816254545</v>
      </c>
      <c r="AC3" s="9"/>
    </row>
    <row r="4" spans="2:32" ht="15.6" thickTop="1" thickBot="1" x14ac:dyDescent="0.35">
      <c r="B4" s="5" t="s">
        <v>0</v>
      </c>
      <c r="C4" s="5" t="s">
        <v>1</v>
      </c>
      <c r="D4" s="5" t="s">
        <v>2</v>
      </c>
      <c r="I4" s="1" t="s">
        <v>8</v>
      </c>
      <c r="J4" s="6">
        <v>18</v>
      </c>
      <c r="K4" s="1">
        <f>COUNTIF(Reel1,4)*COUNTIF(Reel2,4)*COUNTIF(Reel3,4)</f>
        <v>6</v>
      </c>
      <c r="L4" s="23">
        <f>PayoutTable[[#This Row],[PAYS]]*PayoutTable[[#This Row],[HITS]]/$E$3</f>
        <v>3.9358600583090382E-2</v>
      </c>
      <c r="O4" s="9"/>
    </row>
    <row r="5" spans="2:32" x14ac:dyDescent="0.3">
      <c r="B5" s="3">
        <v>1</v>
      </c>
      <c r="C5" s="3">
        <v>1</v>
      </c>
      <c r="D5" s="3">
        <v>1</v>
      </c>
      <c r="I5" s="1" t="s">
        <v>7</v>
      </c>
      <c r="J5" s="6">
        <v>15</v>
      </c>
      <c r="K5" s="1">
        <f>COUNTIF(Reel1,3)*COUNTIF(Reel2,3)*COUNTIF(Reel3,3)</f>
        <v>12</v>
      </c>
      <c r="L5" s="23">
        <f>PayoutTable[[#This Row],[PAYS]]*PayoutTable[[#This Row],[HITS]]/$E$3</f>
        <v>6.5597667638483959E-2</v>
      </c>
    </row>
    <row r="6" spans="2:32" x14ac:dyDescent="0.3">
      <c r="B6" s="3">
        <v>1</v>
      </c>
      <c r="C6" s="3">
        <v>1</v>
      </c>
      <c r="D6" s="3">
        <v>1</v>
      </c>
      <c r="I6" s="1" t="s">
        <v>6</v>
      </c>
      <c r="J6" s="6">
        <v>12</v>
      </c>
      <c r="K6" s="1">
        <f>COUNTIF(Reel1,2)*COUNTIF(Reel2,2)*COUNTIF(Reel3,2)</f>
        <v>18</v>
      </c>
      <c r="L6" s="23">
        <f>PayoutTable[[#This Row],[PAYS]]*PayoutTable[[#This Row],[HITS]]/$E$3</f>
        <v>7.8717201166180764E-2</v>
      </c>
    </row>
    <row r="7" spans="2:32" x14ac:dyDescent="0.3">
      <c r="B7" s="3">
        <v>1</v>
      </c>
      <c r="C7" s="3">
        <v>1</v>
      </c>
      <c r="D7" s="3">
        <v>1</v>
      </c>
      <c r="I7" s="1" t="s">
        <v>5</v>
      </c>
      <c r="J7" s="6">
        <v>10</v>
      </c>
      <c r="K7" s="1">
        <f>COUNTIF(Reel1,1)*COUNTIF(Reel2,1)*COUNTIF(Reel3,1)</f>
        <v>60</v>
      </c>
      <c r="L7" s="23">
        <f>PayoutTable[[#This Row],[PAYS]]*PayoutTable[[#This Row],[HITS]]/$E$3</f>
        <v>0.21865889212827988</v>
      </c>
      <c r="AF7" s="9"/>
    </row>
    <row r="8" spans="2:32" x14ac:dyDescent="0.3">
      <c r="B8" s="3">
        <v>1</v>
      </c>
      <c r="C8" s="3">
        <v>1</v>
      </c>
      <c r="D8" s="3">
        <v>2</v>
      </c>
      <c r="I8" s="1" t="s">
        <v>19</v>
      </c>
      <c r="J8" s="6">
        <v>8</v>
      </c>
      <c r="K8" s="1">
        <f>COUNTIF(Reel1,5)*COUNTIF(Reel2,5)*(D3-COUNTIF(Reel3,5))</f>
        <v>24</v>
      </c>
      <c r="L8" s="23">
        <f>PayoutTable[[#This Row],[PAYS]]*PayoutTable[[#This Row],[HITS]]/$E$3</f>
        <v>6.9970845481049565E-2</v>
      </c>
      <c r="AF8" s="9"/>
    </row>
    <row r="9" spans="2:32" x14ac:dyDescent="0.3">
      <c r="B9" s="3">
        <v>1</v>
      </c>
      <c r="C9" s="3">
        <v>2</v>
      </c>
      <c r="D9" s="3">
        <v>2</v>
      </c>
      <c r="I9" s="1" t="s">
        <v>12</v>
      </c>
      <c r="J9" s="6">
        <v>6</v>
      </c>
      <c r="K9" s="1">
        <f>COUNTIF(Reel1,4)*COUNTIF(Reel2,4)*(D3-COUNTIF(Reel3,4))</f>
        <v>22</v>
      </c>
      <c r="L9" s="23">
        <f>PayoutTable[[#This Row],[PAYS]]*PayoutTable[[#This Row],[HITS]]/$E$3</f>
        <v>4.8104956268221574E-2</v>
      </c>
      <c r="AF9" s="9"/>
    </row>
    <row r="10" spans="2:32" x14ac:dyDescent="0.3">
      <c r="B10" s="3">
        <v>2</v>
      </c>
      <c r="C10" s="3">
        <v>2</v>
      </c>
      <c r="D10" s="3">
        <v>2</v>
      </c>
      <c r="I10" s="1" t="s">
        <v>11</v>
      </c>
      <c r="J10" s="6">
        <v>4</v>
      </c>
      <c r="K10" s="1">
        <f>COUNTIF(Reel1,3)*COUNTIF(Reel2,3)*(D3-COUNTIF(Reel3,3))</f>
        <v>72</v>
      </c>
      <c r="L10" s="23">
        <f>PayoutTable[[#This Row],[PAYS]]*PayoutTable[[#This Row],[HITS]]/$E$3</f>
        <v>0.10495626822157435</v>
      </c>
      <c r="AF10" s="9"/>
    </row>
    <row r="11" spans="2:32" x14ac:dyDescent="0.3">
      <c r="B11" s="3">
        <v>2</v>
      </c>
      <c r="C11" s="3">
        <v>2</v>
      </c>
      <c r="D11" s="3">
        <v>3</v>
      </c>
      <c r="I11" s="1" t="s">
        <v>10</v>
      </c>
      <c r="J11" s="6">
        <v>2</v>
      </c>
      <c r="K11" s="1">
        <f>COUNTIF(Reel1,2)*COUNTIF(Reel2,2)*(D3-COUNTIF(Reel3,2))</f>
        <v>66</v>
      </c>
      <c r="L11" s="23">
        <f>PayoutTable[[#This Row],[PAYS]]*PayoutTable[[#This Row],[HITS]]/$E$3</f>
        <v>4.8104956268221574E-2</v>
      </c>
      <c r="AF11" s="9"/>
    </row>
    <row r="12" spans="2:32" x14ac:dyDescent="0.3">
      <c r="B12" s="3">
        <v>3</v>
      </c>
      <c r="C12" s="3">
        <v>3</v>
      </c>
      <c r="D12" s="3">
        <v>3</v>
      </c>
      <c r="I12" s="1" t="s">
        <v>9</v>
      </c>
      <c r="J12" s="6">
        <v>1</v>
      </c>
      <c r="K12" s="1">
        <f>COUNTIF(Reel1,1)*COUNTIF(Reel2,1)*(D3-COUNTIF(Reel3,1))</f>
        <v>220</v>
      </c>
      <c r="L12" s="23">
        <f>PayoutTable[[#This Row],[PAYS]]*PayoutTable[[#This Row],[HITS]]/$E$3</f>
        <v>8.0174927113702624E-2</v>
      </c>
      <c r="AF12" s="9"/>
    </row>
    <row r="13" spans="2:32" ht="15" thickBot="1" x14ac:dyDescent="0.35">
      <c r="B13" s="3">
        <v>3</v>
      </c>
      <c r="C13" s="3">
        <v>3</v>
      </c>
      <c r="D13" s="3">
        <v>4</v>
      </c>
      <c r="I13" s="24">
        <v>5</v>
      </c>
      <c r="J13" s="11">
        <v>1</v>
      </c>
      <c r="K13" s="12">
        <f>COUNTIF(B5:B18,PayoutTable[[#This Row],[COMBOS]])*(C3-COUNTIF(C5:C18,5))*D3</f>
        <v>168</v>
      </c>
      <c r="L13" s="25">
        <f>PayoutTable[[#This Row],[PAYS]]*PayoutTable[[#This Row],[HITS]]/$E$3</f>
        <v>6.1224489795918366E-2</v>
      </c>
      <c r="AF13" s="9"/>
    </row>
    <row r="14" spans="2:32" ht="15" thickBot="1" x14ac:dyDescent="0.35">
      <c r="B14" s="3">
        <v>3</v>
      </c>
      <c r="C14" s="3">
        <v>4</v>
      </c>
      <c r="D14" s="3">
        <v>4</v>
      </c>
      <c r="J14" s="20" t="s">
        <v>25</v>
      </c>
      <c r="K14" s="21">
        <f>SUBTOTAL(109,PayoutTable[HITS])</f>
        <v>672</v>
      </c>
      <c r="L14" s="22">
        <f>SUBTOTAL(109,PayoutTable[CONTRIBUTION])</f>
        <v>0.96128815282726832</v>
      </c>
      <c r="AF14" s="9"/>
    </row>
    <row r="15" spans="2:32" x14ac:dyDescent="0.3">
      <c r="B15" s="3">
        <v>4</v>
      </c>
      <c r="C15" s="3">
        <v>4</v>
      </c>
      <c r="D15" s="3">
        <v>4</v>
      </c>
      <c r="O15" s="8" t="s">
        <v>20</v>
      </c>
      <c r="P15" s="27">
        <f>1/(SUM(K3:K13)/E3)</f>
        <v>4.083333333333333</v>
      </c>
      <c r="AF15" s="9"/>
    </row>
    <row r="16" spans="2:32" x14ac:dyDescent="0.3">
      <c r="B16" s="3">
        <v>5</v>
      </c>
      <c r="C16" s="3">
        <v>5</v>
      </c>
      <c r="D16" s="3">
        <v>5</v>
      </c>
      <c r="O16" s="8" t="s">
        <v>15</v>
      </c>
      <c r="P16">
        <f>SUMPRODUCT(PayoutTable[PAYS],PayoutTable[HITS])</f>
        <v>2637.7746913580249</v>
      </c>
      <c r="AF16" s="9"/>
    </row>
    <row r="17" spans="2:32" x14ac:dyDescent="0.3">
      <c r="B17" s="3">
        <v>6</v>
      </c>
      <c r="C17" s="3">
        <v>5</v>
      </c>
      <c r="D17" s="3">
        <v>5</v>
      </c>
      <c r="O17" s="8" t="s">
        <v>16</v>
      </c>
      <c r="P17">
        <f>E3</f>
        <v>2744</v>
      </c>
      <c r="AF17" s="9"/>
    </row>
    <row r="18" spans="2:32" ht="15" thickBot="1" x14ac:dyDescent="0.35">
      <c r="B18" s="7">
        <v>6</v>
      </c>
      <c r="C18" s="7">
        <v>6</v>
      </c>
      <c r="D18" s="7">
        <v>6</v>
      </c>
      <c r="O18" s="8" t="s">
        <v>14</v>
      </c>
      <c r="P18" s="9">
        <f>P16/P17</f>
        <v>0.96128815282726854</v>
      </c>
    </row>
    <row r="20" spans="2:32" x14ac:dyDescent="0.3">
      <c r="O20" cm="1">
        <f t="array" aca="1" ref="O20" ca="1">INDEX(Reel1,_xlfn.CEILING.MATH(RAND()*B3))</f>
        <v>2</v>
      </c>
      <c r="P20" cm="1">
        <f t="array" aca="1" ref="P20" ca="1">INDEX(Reel1,_xlfn.CEILING.MATH(RAND()*C3))</f>
        <v>3</v>
      </c>
      <c r="Q20" cm="1">
        <f t="array" aca="1" ref="Q20" ca="1">INDEX(Reel1,_xlfn.CEILING.MATH(RAND()*D3))</f>
        <v>6</v>
      </c>
    </row>
    <row r="22" spans="2:32" x14ac:dyDescent="0.3">
      <c r="O22" t="s">
        <v>21</v>
      </c>
      <c r="P22" t="str">
        <f ca="1">CONCATENATE(O20," ",P20," ",Q20)</f>
        <v>2 3 6</v>
      </c>
    </row>
    <row r="23" spans="2:32" x14ac:dyDescent="0.3">
      <c r="O23" t="s">
        <v>22</v>
      </c>
      <c r="P23">
        <f ca="1">IF(NOT(ISERROR(VLOOKUP(P22,PayoutTable[],2,0))),VLOOKUP(P22,PayoutTable[],2,0),
IF(NOT(ISERROR(VLOOKUP(LEFT(P22,3),PayoutTable[],2,0))),VLOOKUP(LEFT(P22,3),PayoutTable[],2,0),
IF(NOT(ISERROR(VLOOKUP(VALUE(LEFT(P22,1)),PayoutTable[],2,0))),VLOOKUP(VALUE(LEFT(P22,1)),PayoutTable[],2,0),0)))</f>
        <v>0</v>
      </c>
    </row>
  </sheetData>
  <mergeCells count="1">
    <mergeCell ref="B2:E2"/>
  </mergeCells>
  <pageMargins left="0.7" right="0.7" top="0.75" bottom="0.75" header="0.3" footer="0.3"/>
  <pageSetup paperSize="9" orientation="portrait" r:id="rId1"/>
  <ignoredErrors>
    <ignoredError sqref="I3 I4:I7" twoDigitTextYear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6DF2-27F8-4B21-86F8-90407F68E759}">
  <dimension ref="A6:AQ94"/>
  <sheetViews>
    <sheetView topLeftCell="A14" zoomScale="90" zoomScaleNormal="90" workbookViewId="0">
      <selection activeCell="D34" sqref="D34"/>
    </sheetView>
  </sheetViews>
  <sheetFormatPr defaultRowHeight="14.4" x14ac:dyDescent="0.3"/>
  <cols>
    <col min="2" max="2" width="15.5546875" customWidth="1"/>
    <col min="4" max="7" width="8.88671875" customWidth="1"/>
    <col min="8" max="8" width="11.21875" customWidth="1"/>
    <col min="9" max="9" width="10.21875" customWidth="1"/>
    <col min="10" max="23" width="7" customWidth="1"/>
    <col min="25" max="25" width="21.109375" customWidth="1"/>
    <col min="39" max="43" width="12.88671875" customWidth="1"/>
  </cols>
  <sheetData>
    <row r="6" spans="1:39" x14ac:dyDescent="0.3">
      <c r="Y6" t="s">
        <v>41</v>
      </c>
      <c r="Z6">
        <v>0</v>
      </c>
      <c r="AA6">
        <v>1</v>
      </c>
      <c r="AB6">
        <v>2</v>
      </c>
      <c r="AC6">
        <v>3</v>
      </c>
      <c r="AD6">
        <v>4</v>
      </c>
      <c r="AE6">
        <v>5</v>
      </c>
      <c r="AF6">
        <v>6</v>
      </c>
      <c r="AG6">
        <v>7</v>
      </c>
      <c r="AH6">
        <v>8</v>
      </c>
      <c r="AI6">
        <v>9</v>
      </c>
      <c r="AJ6">
        <v>10</v>
      </c>
      <c r="AK6">
        <v>11</v>
      </c>
      <c r="AL6">
        <v>12</v>
      </c>
      <c r="AM6">
        <v>13</v>
      </c>
    </row>
    <row r="7" spans="1:39" x14ac:dyDescent="0.3">
      <c r="Y7" t="s">
        <v>36</v>
      </c>
      <c r="Z7">
        <v>1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spans="1:39" x14ac:dyDescent="0.3">
      <c r="Y8" t="s">
        <v>37</v>
      </c>
      <c r="Z8" cm="1">
        <f t="array" ref="Z8:AM8">MMULT(InitialState,TransitionMatrix)</f>
        <v>0</v>
      </c>
      <c r="AA8">
        <v>0.16666666666666666</v>
      </c>
      <c r="AB8">
        <v>0.16666666666666666</v>
      </c>
      <c r="AC8">
        <v>0.16666666666666666</v>
      </c>
      <c r="AD8">
        <v>0.16666666666666666</v>
      </c>
      <c r="AE8">
        <v>0.16666666666666666</v>
      </c>
      <c r="AF8">
        <v>0.16666666666666666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 x14ac:dyDescent="0.3">
      <c r="A9" s="10"/>
      <c r="B9" s="10"/>
      <c r="E9" t="s">
        <v>41</v>
      </c>
      <c r="F9" t="s">
        <v>34</v>
      </c>
      <c r="Y9" t="s">
        <v>38</v>
      </c>
      <c r="Z9" cm="1">
        <f t="array" ref="Z9:AM9">MMULT(_xlfn.ANCHORARRAY(Z8),TransitionMatrix)</f>
        <v>0</v>
      </c>
      <c r="AA9">
        <v>0</v>
      </c>
      <c r="AB9">
        <v>2.7777777777777776E-2</v>
      </c>
      <c r="AC9">
        <v>5.5555555555555552E-2</v>
      </c>
      <c r="AD9">
        <v>8.3333333333333329E-2</v>
      </c>
      <c r="AE9">
        <v>0.1111111111111111</v>
      </c>
      <c r="AF9">
        <v>0.1388888888888889</v>
      </c>
      <c r="AG9">
        <v>0.16666666666666669</v>
      </c>
      <c r="AH9">
        <v>0.1388888888888889</v>
      </c>
      <c r="AI9">
        <v>0.1111111111111111</v>
      </c>
      <c r="AJ9">
        <v>8.3333333333333329E-2</v>
      </c>
      <c r="AK9">
        <v>5.5555555555555552E-2</v>
      </c>
      <c r="AL9">
        <v>2.7777777777777776E-2</v>
      </c>
      <c r="AM9">
        <v>0</v>
      </c>
    </row>
    <row r="10" spans="1:39" x14ac:dyDescent="0.3">
      <c r="A10" s="10"/>
      <c r="B10" s="10"/>
      <c r="E10">
        <v>0</v>
      </c>
      <c r="F10">
        <v>25</v>
      </c>
      <c r="Y10" t="s">
        <v>39</v>
      </c>
      <c r="Z10" cm="1">
        <f t="array" ref="Z10:AM10">MMULT(_xlfn.ANCHORARRAY(Z9),TransitionMatrix)</f>
        <v>5.0925925925925923E-2</v>
      </c>
      <c r="AA10">
        <v>2.7777777777777776E-2</v>
      </c>
      <c r="AB10">
        <v>2.7777777777777776E-2</v>
      </c>
      <c r="AC10">
        <v>1.8518518518518517E-2</v>
      </c>
      <c r="AD10">
        <v>1.8518518518518517E-2</v>
      </c>
      <c r="AE10">
        <v>2.7777777777777776E-2</v>
      </c>
      <c r="AF10">
        <v>4.6296296296296294E-2</v>
      </c>
      <c r="AG10">
        <v>6.9444444444444448E-2</v>
      </c>
      <c r="AH10">
        <v>9.7222222222222224E-2</v>
      </c>
      <c r="AI10">
        <v>0.22685185185185183</v>
      </c>
      <c r="AJ10">
        <v>0.10648148148148148</v>
      </c>
      <c r="AK10">
        <v>0.10648148148148148</v>
      </c>
      <c r="AL10">
        <v>9.7222222222222224E-2</v>
      </c>
      <c r="AM10">
        <v>7.870370370370372E-2</v>
      </c>
    </row>
    <row r="11" spans="1:39" x14ac:dyDescent="0.3">
      <c r="E11">
        <v>1</v>
      </c>
      <c r="F11">
        <v>10</v>
      </c>
      <c r="Y11" t="s">
        <v>40</v>
      </c>
      <c r="Z11" cm="1">
        <f t="array" ref="Z11:AM11">MMULT(_xlfn.ANCHORARRAY(Z10),TransitionMatrix)</f>
        <v>8.1018518518518517E-2</v>
      </c>
      <c r="AA11">
        <v>7.3302469135802475E-2</v>
      </c>
      <c r="AB11">
        <v>7.7932098765432098E-2</v>
      </c>
      <c r="AC11">
        <v>6.4814814814814811E-2</v>
      </c>
      <c r="AD11">
        <v>5.0154320987654322E-2</v>
      </c>
      <c r="AE11">
        <v>3.7037037037037035E-2</v>
      </c>
      <c r="AF11">
        <v>2.8549382716049381E-2</v>
      </c>
      <c r="AG11">
        <v>2.7777777777777776E-2</v>
      </c>
      <c r="AH11">
        <v>3.4722222222222224E-2</v>
      </c>
      <c r="AI11">
        <v>0.27314814814814814</v>
      </c>
      <c r="AJ11">
        <v>4.3209876543209874E-2</v>
      </c>
      <c r="AK11">
        <v>5.7870370370370364E-2</v>
      </c>
      <c r="AL11">
        <v>7.098765432098765E-2</v>
      </c>
      <c r="AM11">
        <v>7.9475308641975301E-2</v>
      </c>
    </row>
    <row r="12" spans="1:39" x14ac:dyDescent="0.3">
      <c r="A12" s="10"/>
      <c r="E12">
        <v>2</v>
      </c>
      <c r="F12">
        <v>5</v>
      </c>
      <c r="Y12" t="s">
        <v>49</v>
      </c>
      <c r="Z12">
        <f>SUM(Z7:Z11)</f>
        <v>1.1319444444444444</v>
      </c>
      <c r="AA12">
        <f t="shared" ref="AA12:AM12" si="0">SUM(AA7:AA11)</f>
        <v>0.26774691358024688</v>
      </c>
      <c r="AB12">
        <f t="shared" si="0"/>
        <v>0.30015432098765432</v>
      </c>
      <c r="AC12">
        <f t="shared" si="0"/>
        <v>0.30555555555555552</v>
      </c>
      <c r="AD12">
        <f t="shared" si="0"/>
        <v>0.31867283950617281</v>
      </c>
      <c r="AE12">
        <f t="shared" si="0"/>
        <v>0.34259259259259262</v>
      </c>
      <c r="AF12">
        <f t="shared" si="0"/>
        <v>0.38040123456790126</v>
      </c>
      <c r="AG12">
        <f t="shared" si="0"/>
        <v>0.2638888888888889</v>
      </c>
      <c r="AH12">
        <f t="shared" si="0"/>
        <v>0.27083333333333331</v>
      </c>
      <c r="AI12">
        <f t="shared" si="0"/>
        <v>0.61111111111111105</v>
      </c>
      <c r="AJ12">
        <f t="shared" si="0"/>
        <v>0.2330246913580247</v>
      </c>
      <c r="AK12">
        <f t="shared" si="0"/>
        <v>0.21990740740740738</v>
      </c>
      <c r="AL12">
        <f t="shared" si="0"/>
        <v>0.19598765432098764</v>
      </c>
      <c r="AM12">
        <f t="shared" si="0"/>
        <v>0.15817901234567902</v>
      </c>
    </row>
    <row r="13" spans="1:39" x14ac:dyDescent="0.3">
      <c r="E13">
        <v>3</v>
      </c>
      <c r="F13">
        <v>20</v>
      </c>
      <c r="Y13" t="s">
        <v>50</v>
      </c>
      <c r="Z13" cm="1">
        <f t="array" ref="Z13:AM13">TRANSPOSE(F10:F23)</f>
        <v>25</v>
      </c>
      <c r="AA13">
        <v>10</v>
      </c>
      <c r="AB13">
        <v>5</v>
      </c>
      <c r="AC13">
        <v>20</v>
      </c>
      <c r="AD13">
        <v>10</v>
      </c>
      <c r="AE13">
        <v>5</v>
      </c>
      <c r="AF13">
        <v>10</v>
      </c>
      <c r="AG13">
        <v>10</v>
      </c>
      <c r="AH13">
        <v>5</v>
      </c>
      <c r="AI13">
        <v>0</v>
      </c>
      <c r="AJ13">
        <v>15</v>
      </c>
      <c r="AK13">
        <v>10</v>
      </c>
      <c r="AL13">
        <v>20</v>
      </c>
      <c r="AM13">
        <v>250</v>
      </c>
    </row>
    <row r="14" spans="1:39" x14ac:dyDescent="0.3">
      <c r="E14">
        <v>4</v>
      </c>
      <c r="F14">
        <v>10</v>
      </c>
      <c r="H14" s="29" t="s">
        <v>35</v>
      </c>
      <c r="Y14" t="s">
        <v>51</v>
      </c>
      <c r="Z14">
        <f>Z12*Z13</f>
        <v>28.298611111111111</v>
      </c>
      <c r="AA14">
        <f t="shared" ref="AA14:AM14" si="1">AA12*AA13</f>
        <v>2.6774691358024687</v>
      </c>
      <c r="AB14">
        <f t="shared" si="1"/>
        <v>1.5007716049382716</v>
      </c>
      <c r="AC14">
        <f t="shared" si="1"/>
        <v>6.1111111111111107</v>
      </c>
      <c r="AD14">
        <f t="shared" si="1"/>
        <v>3.1867283950617282</v>
      </c>
      <c r="AE14">
        <f t="shared" si="1"/>
        <v>1.712962962962963</v>
      </c>
      <c r="AF14">
        <f t="shared" si="1"/>
        <v>3.8040123456790127</v>
      </c>
      <c r="AG14">
        <f t="shared" si="1"/>
        <v>2.6388888888888888</v>
      </c>
      <c r="AH14">
        <f t="shared" si="1"/>
        <v>1.3541666666666665</v>
      </c>
      <c r="AI14">
        <f t="shared" si="1"/>
        <v>0</v>
      </c>
      <c r="AJ14">
        <f t="shared" si="1"/>
        <v>3.4953703703703707</v>
      </c>
      <c r="AK14">
        <f t="shared" si="1"/>
        <v>2.199074074074074</v>
      </c>
      <c r="AL14">
        <f t="shared" si="1"/>
        <v>3.9197530864197527</v>
      </c>
      <c r="AM14">
        <f t="shared" si="1"/>
        <v>39.544753086419753</v>
      </c>
    </row>
    <row r="15" spans="1:39" x14ac:dyDescent="0.3">
      <c r="E15">
        <v>5</v>
      </c>
      <c r="F15">
        <v>5</v>
      </c>
      <c r="J15" t="s">
        <v>42</v>
      </c>
      <c r="Y15" t="s">
        <v>17</v>
      </c>
      <c r="Z15">
        <f>SUM(Z14:AM14)</f>
        <v>100.44367283950618</v>
      </c>
    </row>
    <row r="16" spans="1:39" x14ac:dyDescent="0.3">
      <c r="E16">
        <v>6</v>
      </c>
      <c r="F16">
        <v>10</v>
      </c>
      <c r="J16">
        <v>0</v>
      </c>
      <c r="K16">
        <v>1</v>
      </c>
      <c r="L16">
        <v>2</v>
      </c>
      <c r="M16">
        <v>3</v>
      </c>
      <c r="N16">
        <v>4</v>
      </c>
      <c r="O16">
        <v>5</v>
      </c>
      <c r="P16">
        <v>6</v>
      </c>
      <c r="Q16">
        <v>7</v>
      </c>
      <c r="R16">
        <v>8</v>
      </c>
      <c r="S16">
        <v>9</v>
      </c>
      <c r="T16">
        <v>10</v>
      </c>
      <c r="U16">
        <v>11</v>
      </c>
      <c r="V16">
        <v>12</v>
      </c>
      <c r="W16">
        <v>13</v>
      </c>
    </row>
    <row r="17" spans="5:38" x14ac:dyDescent="0.3">
      <c r="E17">
        <v>7</v>
      </c>
      <c r="F17">
        <v>10</v>
      </c>
      <c r="H17" t="s">
        <v>43</v>
      </c>
      <c r="I17">
        <v>0</v>
      </c>
      <c r="J17" s="28">
        <v>0</v>
      </c>
      <c r="K17" s="28">
        <f>1/6</f>
        <v>0.16666666666666666</v>
      </c>
      <c r="L17" s="28">
        <v>0.16666666666666666</v>
      </c>
      <c r="M17" s="28">
        <v>0.16666666666666666</v>
      </c>
      <c r="N17" s="28">
        <v>0.16666666666666666</v>
      </c>
      <c r="O17" s="28">
        <v>0.16666666666666666</v>
      </c>
      <c r="P17" s="28">
        <v>0.16666666666666666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</row>
    <row r="18" spans="5:38" x14ac:dyDescent="0.3">
      <c r="E18">
        <v>8</v>
      </c>
      <c r="F18">
        <v>5</v>
      </c>
      <c r="I18">
        <v>1</v>
      </c>
      <c r="J18" s="28">
        <v>0</v>
      </c>
      <c r="K18" s="28">
        <v>0</v>
      </c>
      <c r="L18" s="28">
        <f>1/6</f>
        <v>0.16666666666666666</v>
      </c>
      <c r="M18" s="28">
        <v>0.16666666666666666</v>
      </c>
      <c r="N18" s="28">
        <v>0.16666666666666666</v>
      </c>
      <c r="O18" s="28">
        <v>0.16666666666666666</v>
      </c>
      <c r="P18" s="28">
        <v>0.16666666666666666</v>
      </c>
      <c r="Q18" s="28">
        <v>0.16666666666666666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</row>
    <row r="19" spans="5:38" x14ac:dyDescent="0.3">
      <c r="E19">
        <v>9</v>
      </c>
      <c r="F19">
        <v>0</v>
      </c>
      <c r="I19">
        <v>2</v>
      </c>
      <c r="J19" s="28">
        <v>0</v>
      </c>
      <c r="K19" s="28">
        <v>0</v>
      </c>
      <c r="L19" s="28">
        <v>0</v>
      </c>
      <c r="M19" s="28">
        <f>1/6</f>
        <v>0.16666666666666666</v>
      </c>
      <c r="N19" s="28">
        <v>0.16666666666666666</v>
      </c>
      <c r="O19" s="28">
        <v>0.16666666666666666</v>
      </c>
      <c r="P19" s="28">
        <v>0.16666666666666666</v>
      </c>
      <c r="Q19" s="28">
        <v>0.16666666666666666</v>
      </c>
      <c r="R19" s="28">
        <v>0.16666666666666666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</row>
    <row r="20" spans="5:38" x14ac:dyDescent="0.3">
      <c r="E20">
        <v>10</v>
      </c>
      <c r="F20">
        <v>15</v>
      </c>
      <c r="I20">
        <v>3</v>
      </c>
      <c r="J20" s="28">
        <v>0</v>
      </c>
      <c r="K20" s="28">
        <v>0</v>
      </c>
      <c r="L20" s="28">
        <v>0</v>
      </c>
      <c r="M20" s="28">
        <v>0</v>
      </c>
      <c r="N20" s="28">
        <f>1/6</f>
        <v>0.16666666666666666</v>
      </c>
      <c r="O20" s="28">
        <v>0.16666666666666666</v>
      </c>
      <c r="P20" s="28">
        <v>0.16666666666666666</v>
      </c>
      <c r="Q20" s="28">
        <v>0.16666666666666666</v>
      </c>
      <c r="R20" s="28">
        <v>0.16666666666666666</v>
      </c>
      <c r="S20" s="28">
        <v>0.16666666666666666</v>
      </c>
      <c r="T20" s="28">
        <v>0</v>
      </c>
      <c r="U20" s="28">
        <v>0</v>
      </c>
      <c r="V20" s="28">
        <v>0</v>
      </c>
      <c r="W20" s="28">
        <v>0</v>
      </c>
      <c r="X20" s="28"/>
      <c r="Y20" t="s">
        <v>17</v>
      </c>
      <c r="Z20" cm="1">
        <f t="array" ref="Z20">MMULT(Z12:AM12,F10:F23)</f>
        <v>100.44367283950618</v>
      </c>
    </row>
    <row r="21" spans="5:38" x14ac:dyDescent="0.3">
      <c r="E21">
        <v>11</v>
      </c>
      <c r="F21">
        <v>10</v>
      </c>
      <c r="I21">
        <v>4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f>1/6</f>
        <v>0.16666666666666666</v>
      </c>
      <c r="P21" s="28">
        <v>0.16666666666666666</v>
      </c>
      <c r="Q21" s="28">
        <v>0.16666666666666666</v>
      </c>
      <c r="R21" s="28">
        <v>0.16666666666666666</v>
      </c>
      <c r="S21" s="28">
        <v>0.16666666666666666</v>
      </c>
      <c r="T21" s="28">
        <v>0.16666666666666666</v>
      </c>
      <c r="U21" s="28">
        <v>0</v>
      </c>
      <c r="V21" s="28">
        <v>0</v>
      </c>
      <c r="W21" s="28">
        <v>0</v>
      </c>
      <c r="X21" s="28"/>
      <c r="Y21" s="28"/>
      <c r="AL21">
        <f>SUM(Z12:AM12)</f>
        <v>4.9999999999999991</v>
      </c>
    </row>
    <row r="22" spans="5:38" x14ac:dyDescent="0.3">
      <c r="E22">
        <v>12</v>
      </c>
      <c r="F22">
        <v>20</v>
      </c>
      <c r="I22">
        <v>5</v>
      </c>
      <c r="J22" s="28">
        <v>0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f>1/6</f>
        <v>0.16666666666666666</v>
      </c>
      <c r="Q22" s="28">
        <v>0.16666666666666666</v>
      </c>
      <c r="R22" s="28">
        <v>0.16666666666666666</v>
      </c>
      <c r="S22" s="28">
        <v>0.16666666666666666</v>
      </c>
      <c r="T22" s="28">
        <v>0.16666666666666666</v>
      </c>
      <c r="U22" s="28">
        <v>0.16666666666666666</v>
      </c>
      <c r="V22" s="28">
        <v>0</v>
      </c>
      <c r="W22" s="28">
        <v>0</v>
      </c>
      <c r="X22" s="28"/>
      <c r="Y22" s="28"/>
      <c r="Z22" s="28"/>
    </row>
    <row r="23" spans="5:38" x14ac:dyDescent="0.3">
      <c r="E23">
        <v>13</v>
      </c>
      <c r="F23">
        <v>250</v>
      </c>
      <c r="I23">
        <v>6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f>1/6</f>
        <v>0.16666666666666666</v>
      </c>
      <c r="R23" s="28">
        <v>0.16666666666666666</v>
      </c>
      <c r="S23" s="28">
        <v>0.16666666666666666</v>
      </c>
      <c r="T23" s="28">
        <v>0.16666666666666666</v>
      </c>
      <c r="U23" s="28">
        <v>0.16666666666666666</v>
      </c>
      <c r="V23" s="28">
        <v>0.16666666666666666</v>
      </c>
      <c r="W23" s="28">
        <v>0</v>
      </c>
      <c r="X23" s="28"/>
      <c r="Y23" s="28"/>
      <c r="Z23" s="28"/>
      <c r="AA23" s="28"/>
    </row>
    <row r="24" spans="5:38" x14ac:dyDescent="0.3">
      <c r="I24">
        <v>7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f>1/6</f>
        <v>0.16666666666666666</v>
      </c>
      <c r="S24" s="28">
        <v>0.16666666666666666</v>
      </c>
      <c r="T24" s="28">
        <v>0.16666666666666666</v>
      </c>
      <c r="U24" s="28">
        <v>0.16666666666666666</v>
      </c>
      <c r="V24" s="28">
        <v>0.16666666666666666</v>
      </c>
      <c r="W24" s="28">
        <v>0.16666666666666666</v>
      </c>
      <c r="X24" s="28"/>
      <c r="Y24" s="28"/>
      <c r="Z24" s="28"/>
      <c r="AA24" s="28"/>
      <c r="AB24" s="28"/>
    </row>
    <row r="25" spans="5:38" x14ac:dyDescent="0.3">
      <c r="I25">
        <v>8</v>
      </c>
      <c r="J25" s="28">
        <f>1/6</f>
        <v>0.16666666666666666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f>1/6</f>
        <v>0.16666666666666666</v>
      </c>
      <c r="T25" s="28">
        <v>0.16666666666666666</v>
      </c>
      <c r="U25" s="28">
        <v>0.16666666666666666</v>
      </c>
      <c r="V25" s="28">
        <v>0.16666666666666666</v>
      </c>
      <c r="W25" s="28">
        <v>0.16666666666666666</v>
      </c>
    </row>
    <row r="26" spans="5:38" x14ac:dyDescent="0.3">
      <c r="I26">
        <v>9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  <c r="T26" s="28">
        <v>0</v>
      </c>
      <c r="U26" s="28">
        <v>0</v>
      </c>
      <c r="V26" s="28">
        <v>0</v>
      </c>
      <c r="W26" s="28">
        <v>0</v>
      </c>
    </row>
    <row r="27" spans="5:38" x14ac:dyDescent="0.3">
      <c r="I27">
        <v>10</v>
      </c>
      <c r="J27" s="28">
        <f>1/6</f>
        <v>0.16666666666666666</v>
      </c>
      <c r="K27" s="28">
        <v>0.16666666666666666</v>
      </c>
      <c r="L27" s="28">
        <v>0.16666666666666666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f>1/6</f>
        <v>0.16666666666666666</v>
      </c>
      <c r="V27" s="28">
        <v>0.16666666666666666</v>
      </c>
      <c r="W27" s="28">
        <v>0.16666666666666666</v>
      </c>
    </row>
    <row r="28" spans="5:38" x14ac:dyDescent="0.3">
      <c r="I28">
        <v>11</v>
      </c>
      <c r="J28" s="28">
        <f>1/6</f>
        <v>0.16666666666666666</v>
      </c>
      <c r="K28" s="28">
        <v>0.16666666666666666</v>
      </c>
      <c r="L28" s="28">
        <v>0.16666666666666666</v>
      </c>
      <c r="M28" s="28">
        <v>0.16666666666666666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f>1/6</f>
        <v>0.16666666666666666</v>
      </c>
      <c r="W28" s="28">
        <v>0.16666666666666666</v>
      </c>
    </row>
    <row r="29" spans="5:38" x14ac:dyDescent="0.3">
      <c r="I29">
        <v>12</v>
      </c>
      <c r="J29" s="28">
        <f>1/6</f>
        <v>0.16666666666666666</v>
      </c>
      <c r="K29" s="28">
        <v>0.16666666666666666</v>
      </c>
      <c r="L29" s="28">
        <v>0.16666666666666666</v>
      </c>
      <c r="M29" s="28">
        <v>0.16666666666666666</v>
      </c>
      <c r="N29" s="28">
        <v>0.16666666666666666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f>1/6</f>
        <v>0.16666666666666666</v>
      </c>
    </row>
    <row r="30" spans="5:38" x14ac:dyDescent="0.3">
      <c r="I30">
        <v>13</v>
      </c>
      <c r="J30" s="28">
        <f>1/6</f>
        <v>0.16666666666666666</v>
      </c>
      <c r="K30" s="28">
        <v>0.16666666666666666</v>
      </c>
      <c r="L30" s="28">
        <v>0.16666666666666666</v>
      </c>
      <c r="M30" s="28">
        <v>0.16666666666666666</v>
      </c>
      <c r="N30" s="28">
        <v>0.16666666666666666</v>
      </c>
      <c r="O30" s="28">
        <v>0.16666666666666666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</row>
    <row r="38" spans="2:6" x14ac:dyDescent="0.3">
      <c r="B38" t="s">
        <v>44</v>
      </c>
      <c r="C38">
        <f ca="1">RANDBETWEEN(1,6)</f>
        <v>1</v>
      </c>
      <c r="D38">
        <f t="shared" ref="D38" ca="1" si="2">RANDBETWEEN(1,6)</f>
        <v>1</v>
      </c>
      <c r="E38">
        <f ca="1">IF(D39=9,"",RANDBETWEEN(1,6))</f>
        <v>3</v>
      </c>
      <c r="F38">
        <f ca="1">IF(OR(E39=9,E39=""),"",RANDBETWEEN(1,6))</f>
        <v>1</v>
      </c>
    </row>
    <row r="39" spans="2:6" x14ac:dyDescent="0.3">
      <c r="B39" t="s">
        <v>45</v>
      </c>
      <c r="C39">
        <f ca="1">MOD(SUM(C38),14)</f>
        <v>1</v>
      </c>
      <c r="D39">
        <f ca="1">MOD(SUM(C38:D38),14)</f>
        <v>2</v>
      </c>
      <c r="E39">
        <f ca="1">IF(D39=9,"",MOD(SUM(C38:E38),14))</f>
        <v>5</v>
      </c>
      <c r="F39">
        <f ca="1">IF(OR(E39=9,E39=""),"",MOD(SUM(C38:F38),14))</f>
        <v>6</v>
      </c>
    </row>
    <row r="40" spans="2:6" x14ac:dyDescent="0.3">
      <c r="B40" t="s">
        <v>46</v>
      </c>
      <c r="C40">
        <f ca="1">VLOOKUP(C39,BonusPayoutTable,2,0)</f>
        <v>10</v>
      </c>
      <c r="D40">
        <f ca="1">VLOOKUP(D39,BonusPayoutTable,2,0)</f>
        <v>5</v>
      </c>
      <c r="E40">
        <f ca="1">IF(D40=0,"",VLOOKUP(E39,BonusPayoutTable,2,0))</f>
        <v>5</v>
      </c>
      <c r="F40">
        <f ca="1">IF(OR(E39=9,E39=""),"",VLOOKUP(F39,BonusPayoutTable,2,0))</f>
        <v>10</v>
      </c>
    </row>
    <row r="41" spans="2:6" x14ac:dyDescent="0.3">
      <c r="B41" t="s">
        <v>47</v>
      </c>
      <c r="C41">
        <f ca="1">25+SUM(C40:F40)</f>
        <v>55</v>
      </c>
    </row>
    <row r="53" spans="39:43" ht="41.4" customHeight="1" x14ac:dyDescent="0.3">
      <c r="AM53" s="30">
        <f>F17</f>
        <v>10</v>
      </c>
      <c r="AN53" s="33">
        <f>F18</f>
        <v>5</v>
      </c>
      <c r="AO53" s="33">
        <f>F19</f>
        <v>0</v>
      </c>
      <c r="AP53" s="33">
        <f>F20</f>
        <v>15</v>
      </c>
      <c r="AQ53" s="30">
        <f>F21</f>
        <v>10</v>
      </c>
    </row>
    <row r="54" spans="39:43" ht="41.4" customHeight="1" x14ac:dyDescent="0.3">
      <c r="AM54" s="31">
        <f>F16</f>
        <v>10</v>
      </c>
      <c r="AN54" s="40" t="s">
        <v>48</v>
      </c>
      <c r="AO54" s="41"/>
      <c r="AP54" s="42"/>
      <c r="AQ54" s="32">
        <f>F22</f>
        <v>20</v>
      </c>
    </row>
    <row r="55" spans="39:43" ht="41.4" customHeight="1" x14ac:dyDescent="0.3">
      <c r="AM55" s="31">
        <f>F15</f>
        <v>5</v>
      </c>
      <c r="AN55" s="43"/>
      <c r="AO55" s="44"/>
      <c r="AP55" s="45"/>
      <c r="AQ55" s="32">
        <f>F23</f>
        <v>250</v>
      </c>
    </row>
    <row r="56" spans="39:43" ht="41.4" customHeight="1" x14ac:dyDescent="0.3">
      <c r="AM56" s="30">
        <f>F14</f>
        <v>10</v>
      </c>
      <c r="AN56" s="34">
        <f>F13</f>
        <v>20</v>
      </c>
      <c r="AO56" s="34">
        <f>F12</f>
        <v>5</v>
      </c>
      <c r="AP56" s="34">
        <f>F11</f>
        <v>10</v>
      </c>
      <c r="AQ56" s="30">
        <f>F10</f>
        <v>25</v>
      </c>
    </row>
    <row r="80" spans="5:6" x14ac:dyDescent="0.3">
      <c r="E80" t="s">
        <v>41</v>
      </c>
      <c r="F80" t="s">
        <v>34</v>
      </c>
    </row>
    <row r="81" spans="5:6" x14ac:dyDescent="0.3">
      <c r="E81">
        <v>0</v>
      </c>
      <c r="F81">
        <v>25</v>
      </c>
    </row>
    <row r="82" spans="5:6" x14ac:dyDescent="0.3">
      <c r="E82">
        <v>1</v>
      </c>
      <c r="F82">
        <v>5</v>
      </c>
    </row>
    <row r="83" spans="5:6" x14ac:dyDescent="0.3">
      <c r="E83">
        <v>2</v>
      </c>
      <c r="F83">
        <v>5</v>
      </c>
    </row>
    <row r="84" spans="5:6" x14ac:dyDescent="0.3">
      <c r="E84">
        <v>3</v>
      </c>
      <c r="F84">
        <v>20</v>
      </c>
    </row>
    <row r="85" spans="5:6" x14ac:dyDescent="0.3">
      <c r="E85">
        <v>4</v>
      </c>
      <c r="F85">
        <v>5</v>
      </c>
    </row>
    <row r="86" spans="5:6" x14ac:dyDescent="0.3">
      <c r="E86">
        <v>5</v>
      </c>
      <c r="F86">
        <v>5</v>
      </c>
    </row>
    <row r="87" spans="5:6" x14ac:dyDescent="0.3">
      <c r="E87">
        <v>6</v>
      </c>
      <c r="F87">
        <v>15</v>
      </c>
    </row>
    <row r="88" spans="5:6" x14ac:dyDescent="0.3">
      <c r="E88">
        <v>7</v>
      </c>
      <c r="F88">
        <v>10</v>
      </c>
    </row>
    <row r="89" spans="5:6" x14ac:dyDescent="0.3">
      <c r="E89">
        <v>8</v>
      </c>
      <c r="F89">
        <v>5</v>
      </c>
    </row>
    <row r="90" spans="5:6" x14ac:dyDescent="0.3">
      <c r="E90">
        <v>9</v>
      </c>
      <c r="F90">
        <v>10</v>
      </c>
    </row>
    <row r="91" spans="5:6" x14ac:dyDescent="0.3">
      <c r="E91">
        <v>10</v>
      </c>
      <c r="F91">
        <v>5</v>
      </c>
    </row>
    <row r="92" spans="5:6" x14ac:dyDescent="0.3">
      <c r="E92">
        <v>11</v>
      </c>
      <c r="F92">
        <v>5</v>
      </c>
    </row>
    <row r="93" spans="5:6" x14ac:dyDescent="0.3">
      <c r="E93">
        <v>12</v>
      </c>
      <c r="F93">
        <v>5</v>
      </c>
    </row>
    <row r="94" spans="5:6" x14ac:dyDescent="0.3">
      <c r="E94">
        <v>13</v>
      </c>
      <c r="F94">
        <v>200</v>
      </c>
    </row>
  </sheetData>
  <mergeCells count="1">
    <mergeCell ref="AN54:AP5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51B9C-2285-4BE7-A993-4A30B81D748F}">
  <dimension ref="D1:R23"/>
  <sheetViews>
    <sheetView zoomScaleNormal="100" workbookViewId="0">
      <selection activeCell="H3" sqref="H3"/>
    </sheetView>
  </sheetViews>
  <sheetFormatPr defaultRowHeight="14.4" x14ac:dyDescent="0.3"/>
  <cols>
    <col min="5" max="5" width="14.77734375" customWidth="1"/>
    <col min="11" max="13" width="14.77734375" customWidth="1"/>
  </cols>
  <sheetData>
    <row r="1" spans="4:18" ht="57" customHeight="1" x14ac:dyDescent="0.3">
      <c r="D1">
        <v>1</v>
      </c>
      <c r="F1" t="s">
        <v>27</v>
      </c>
      <c r="Q1" t="str">
        <f ca="1">CONCATENATE(P2," ",Q2," ",R2)</f>
        <v>2 3 6</v>
      </c>
    </row>
    <row r="2" spans="4:18" ht="57" customHeight="1" x14ac:dyDescent="0.3">
      <c r="D2">
        <v>2</v>
      </c>
      <c r="F2" t="s">
        <v>28</v>
      </c>
      <c r="L2" s="16">
        <f ca="1">IF(NOT(ISERROR(VLOOKUP(Q1,PayoutTable[],2,0))),VLOOKUP(Q1,PayoutTable[],2,0),
IF(NOT(ISERROR(VLOOKUP(LEFT(Q1,3),PayoutTable[],2,0))),VLOOKUP(LEFT(Q1,3),PayoutTable[],2,0),
IF(NOT(ISERROR(VLOOKUP(VALUE(LEFT(Q1,1)),PayoutTable[],2,0))),VLOOKUP(VALUE(LEFT(Q1,1)),PayoutTable[],2,0),0)))</f>
        <v>0</v>
      </c>
      <c r="P2">
        <f ca="1">Maths!O20</f>
        <v>2</v>
      </c>
      <c r="Q2">
        <f ca="1">Maths!P20</f>
        <v>3</v>
      </c>
      <c r="R2">
        <f ca="1">Maths!Q20</f>
        <v>6</v>
      </c>
    </row>
    <row r="3" spans="4:18" ht="57" customHeight="1" x14ac:dyDescent="0.3">
      <c r="D3">
        <v>3</v>
      </c>
      <c r="F3" t="s">
        <v>29</v>
      </c>
      <c r="O3" t="s">
        <v>32</v>
      </c>
      <c r="P3" t="str">
        <f ca="1">VLOOKUP(P2,$D$1:$F$6,3)</f>
        <v>Wheel</v>
      </c>
      <c r="Q3" t="str">
        <f ca="1">VLOOKUP(Q2,$D$1:$F$6,3)</f>
        <v>Helmet</v>
      </c>
      <c r="R3" t="str">
        <f ca="1">VLOOKUP(R2,$D$1:$F$6,3)</f>
        <v>Crash</v>
      </c>
    </row>
    <row r="4" spans="4:18" ht="57" customHeight="1" x14ac:dyDescent="0.3">
      <c r="D4">
        <v>4</v>
      </c>
      <c r="F4" t="s">
        <v>26</v>
      </c>
    </row>
    <row r="5" spans="4:18" ht="57" customHeight="1" x14ac:dyDescent="0.3">
      <c r="D5">
        <v>5</v>
      </c>
      <c r="F5" t="s">
        <v>30</v>
      </c>
    </row>
    <row r="6" spans="4:18" ht="57" customHeight="1" x14ac:dyDescent="0.3">
      <c r="D6">
        <v>6</v>
      </c>
      <c r="F6" t="s">
        <v>31</v>
      </c>
    </row>
    <row r="23" spans="14:14" x14ac:dyDescent="0.3">
      <c r="N23" s="26"/>
    </row>
  </sheetData>
  <sortState xmlns:xlrd2="http://schemas.microsoft.com/office/spreadsheetml/2017/richdata2" ref="D1:E6">
    <sortCondition ref="D1:D6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Slot_Machine</vt:lpstr>
      <vt:lpstr>Maths</vt:lpstr>
      <vt:lpstr>Bonus_Game</vt:lpstr>
      <vt:lpstr>Icons</vt:lpstr>
      <vt:lpstr>BonusPayoutTable</vt:lpstr>
      <vt:lpstr>Car</vt:lpstr>
      <vt:lpstr>Crash</vt:lpstr>
      <vt:lpstr>Flag</vt:lpstr>
      <vt:lpstr>Helmet</vt:lpstr>
      <vt:lpstr>InitialState</vt:lpstr>
      <vt:lpstr>Reel1</vt:lpstr>
      <vt:lpstr>Reel2</vt:lpstr>
      <vt:lpstr>Reel3</vt:lpstr>
      <vt:lpstr>TransitionMatrix</vt:lpstr>
      <vt:lpstr>Tyre</vt:lpstr>
      <vt:lpstr>Wheel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Jordan</dc:creator>
  <cp:lastModifiedBy>Jack Jordan</cp:lastModifiedBy>
  <dcterms:created xsi:type="dcterms:W3CDTF">2023-02-05T15:48:04Z</dcterms:created>
  <dcterms:modified xsi:type="dcterms:W3CDTF">2023-02-15T11:15:24Z</dcterms:modified>
</cp:coreProperties>
</file>